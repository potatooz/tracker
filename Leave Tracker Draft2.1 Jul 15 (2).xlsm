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7057715\Desktop\Leave Tracker\"/>
    </mc:Choice>
  </mc:AlternateContent>
  <xr:revisionPtr revIDLastSave="0" documentId="8_{36C52C48-D5C6-414B-A122-166640C8531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2022" sheetId="8" r:id="rId1"/>
    <sheet name="2023" sheetId="12" r:id="rId2"/>
    <sheet name="2024" sheetId="11" r:id="rId3"/>
    <sheet name="Holidays" sheetId="9" r:id="rId4"/>
    <sheet name="Sheet3" sheetId="5" state="hidden" r:id="rId5"/>
  </sheets>
  <definedNames>
    <definedName name="HolidayListNamedRange" localSheetId="1">HolidayList[Date]</definedName>
    <definedName name="HolidayListNamedRange" localSheetId="2">HolidayList[Date]</definedName>
    <definedName name="HolidayListNamedRange">HolidayList[Date]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41547.3902083333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LEAVECODES">'2022'!$NY$10:$NY$18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1" l="1"/>
  <c r="E4" i="11"/>
  <c r="E5" i="12"/>
  <c r="E4" i="12"/>
  <c r="D4" i="8"/>
  <c r="E5" i="8"/>
  <c r="NJ7" i="12" l="1"/>
  <c r="NJ8" i="12" s="1"/>
  <c r="NJ6" i="12" s="1"/>
  <c r="NI7" i="12"/>
  <c r="NI8" i="12" s="1"/>
  <c r="NH7" i="12"/>
  <c r="NH8" i="12" s="1"/>
  <c r="NG7" i="12"/>
  <c r="NG8" i="12" s="1"/>
  <c r="NG6" i="12" s="1"/>
  <c r="NF7" i="12"/>
  <c r="NF8" i="12" s="1"/>
  <c r="NF6" i="12" s="1"/>
  <c r="NE7" i="12"/>
  <c r="NE8" i="12" s="1"/>
  <c r="NE6" i="12" s="1"/>
  <c r="ND7" i="12"/>
  <c r="ND8" i="12" s="1"/>
  <c r="NC7" i="12"/>
  <c r="NC8" i="12" s="1"/>
  <c r="NC6" i="12" s="1"/>
  <c r="NB7" i="12"/>
  <c r="NB8" i="12" s="1"/>
  <c r="NB6" i="12" s="1"/>
  <c r="NA7" i="12"/>
  <c r="NA8" i="12" s="1"/>
  <c r="MZ7" i="12"/>
  <c r="MZ8" i="12" s="1"/>
  <c r="MZ6" i="12" s="1"/>
  <c r="MY7" i="12"/>
  <c r="MY8" i="12" s="1"/>
  <c r="MY6" i="12" s="1"/>
  <c r="MX7" i="12"/>
  <c r="MX8" i="12" s="1"/>
  <c r="MX6" i="12" s="1"/>
  <c r="MW7" i="12"/>
  <c r="MW8" i="12" s="1"/>
  <c r="MW6" i="12" s="1"/>
  <c r="MV7" i="12"/>
  <c r="MV8" i="12" s="1"/>
  <c r="MV6" i="12" s="1"/>
  <c r="MU7" i="12"/>
  <c r="MU8" i="12" s="1"/>
  <c r="MU6" i="12" s="1"/>
  <c r="MT7" i="12"/>
  <c r="MT8" i="12" s="1"/>
  <c r="MT6" i="12" s="1"/>
  <c r="MS7" i="12"/>
  <c r="MS8" i="12" s="1"/>
  <c r="MS6" i="12" s="1"/>
  <c r="MR7" i="12"/>
  <c r="MR8" i="12" s="1"/>
  <c r="MQ7" i="12"/>
  <c r="MQ8" i="12" s="1"/>
  <c r="MQ6" i="12" s="1"/>
  <c r="MP7" i="12"/>
  <c r="MP8" i="12" s="1"/>
  <c r="MP6" i="12" s="1"/>
  <c r="MO7" i="12"/>
  <c r="MO8" i="12" s="1"/>
  <c r="MO6" i="12" s="1"/>
  <c r="MN7" i="12"/>
  <c r="MN8" i="12" s="1"/>
  <c r="MN6" i="12" s="1"/>
  <c r="MM7" i="12"/>
  <c r="MM8" i="12" s="1"/>
  <c r="MM6" i="12" s="1"/>
  <c r="ML7" i="12"/>
  <c r="ML8" i="12" s="1"/>
  <c r="ML6" i="12" s="1"/>
  <c r="MK7" i="12"/>
  <c r="MK8" i="12" s="1"/>
  <c r="MJ7" i="12"/>
  <c r="MJ8" i="12" s="1"/>
  <c r="MJ6" i="12" s="1"/>
  <c r="MI7" i="12"/>
  <c r="MI8" i="12" s="1"/>
  <c r="MI6" i="12" s="1"/>
  <c r="MH7" i="12"/>
  <c r="MH8" i="12" s="1"/>
  <c r="MH6" i="12" s="1"/>
  <c r="MG7" i="12"/>
  <c r="MG8" i="12" s="1"/>
  <c r="MG6" i="12" s="1"/>
  <c r="MF7" i="12"/>
  <c r="MF8" i="12" s="1"/>
  <c r="MF6" i="12" s="1"/>
  <c r="ME7" i="12"/>
  <c r="ME8" i="12" s="1"/>
  <c r="ME6" i="12" s="1"/>
  <c r="MD7" i="12"/>
  <c r="MD8" i="12" s="1"/>
  <c r="MD6" i="12" s="1"/>
  <c r="MC7" i="12"/>
  <c r="MC8" i="12" s="1"/>
  <c r="MC6" i="12" s="1"/>
  <c r="MB7" i="12"/>
  <c r="MB8" i="12" s="1"/>
  <c r="MA7" i="12"/>
  <c r="MA8" i="12" s="1"/>
  <c r="MA6" i="12" s="1"/>
  <c r="LZ7" i="12"/>
  <c r="LZ8" i="12" s="1"/>
  <c r="LY7" i="12"/>
  <c r="LY8" i="12" s="1"/>
  <c r="LY6" i="12" s="1"/>
  <c r="LX7" i="12"/>
  <c r="LX8" i="12" s="1"/>
  <c r="LX6" i="12" s="1"/>
  <c r="LW7" i="12"/>
  <c r="LW8" i="12" s="1"/>
  <c r="LW6" i="12" s="1"/>
  <c r="LV7" i="12"/>
  <c r="LV8" i="12" s="1"/>
  <c r="LV6" i="12" s="1"/>
  <c r="LU7" i="12"/>
  <c r="LU8" i="12" s="1"/>
  <c r="LU6" i="12" s="1"/>
  <c r="LT7" i="12"/>
  <c r="LT8" i="12" s="1"/>
  <c r="LS7" i="12"/>
  <c r="LS8" i="12" s="1"/>
  <c r="LS6" i="12" s="1"/>
  <c r="LR7" i="12"/>
  <c r="LR8" i="12" s="1"/>
  <c r="LR6" i="12" s="1"/>
  <c r="LQ7" i="12"/>
  <c r="LQ8" i="12" s="1"/>
  <c r="LQ6" i="12" s="1"/>
  <c r="LP7" i="12"/>
  <c r="LP8" i="12" s="1"/>
  <c r="LP6" i="12" s="1"/>
  <c r="LO7" i="12"/>
  <c r="LO8" i="12" s="1"/>
  <c r="LO6" i="12" s="1"/>
  <c r="LN7" i="12"/>
  <c r="LN8" i="12" s="1"/>
  <c r="LN6" i="12" s="1"/>
  <c r="LM7" i="12"/>
  <c r="LM8" i="12" s="1"/>
  <c r="LM6" i="12" s="1"/>
  <c r="LL7" i="12"/>
  <c r="LL8" i="12" s="1"/>
  <c r="LL6" i="12" s="1"/>
  <c r="LK7" i="12"/>
  <c r="LK8" i="12" s="1"/>
  <c r="LK6" i="12" s="1"/>
  <c r="LJ7" i="12"/>
  <c r="LJ8" i="12" s="1"/>
  <c r="LJ6" i="12" s="1"/>
  <c r="LI7" i="12"/>
  <c r="LI8" i="12" s="1"/>
  <c r="LI6" i="12" s="1"/>
  <c r="LH7" i="12"/>
  <c r="LH8" i="12" s="1"/>
  <c r="LH6" i="12" s="1"/>
  <c r="LG7" i="12"/>
  <c r="LG8" i="12" s="1"/>
  <c r="LG6" i="12" s="1"/>
  <c r="LF7" i="12"/>
  <c r="LF8" i="12" s="1"/>
  <c r="LF6" i="12" s="1"/>
  <c r="LE7" i="12"/>
  <c r="LE8" i="12" s="1"/>
  <c r="LE6" i="12" s="1"/>
  <c r="LD7" i="12"/>
  <c r="LD8" i="12" s="1"/>
  <c r="LD6" i="12" s="1"/>
  <c r="LC7" i="12"/>
  <c r="LC8" i="12" s="1"/>
  <c r="LC6" i="12" s="1"/>
  <c r="LB7" i="12"/>
  <c r="LB8" i="12" s="1"/>
  <c r="LB6" i="12" s="1"/>
  <c r="LA7" i="12"/>
  <c r="LA8" i="12" s="1"/>
  <c r="LA6" i="12" s="1"/>
  <c r="KZ7" i="12"/>
  <c r="KZ8" i="12" s="1"/>
  <c r="KZ6" i="12" s="1"/>
  <c r="KY7" i="12"/>
  <c r="KY8" i="12" s="1"/>
  <c r="KY6" i="12" s="1"/>
  <c r="KX7" i="12"/>
  <c r="KX8" i="12" s="1"/>
  <c r="KX6" i="12" s="1"/>
  <c r="KW7" i="12"/>
  <c r="KW8" i="12" s="1"/>
  <c r="KW6" i="12" s="1"/>
  <c r="KV7" i="12"/>
  <c r="KV8" i="12" s="1"/>
  <c r="KU7" i="12"/>
  <c r="KU8" i="12" s="1"/>
  <c r="KU6" i="12" s="1"/>
  <c r="KT7" i="12"/>
  <c r="KT8" i="12" s="1"/>
  <c r="KT6" i="12" s="1"/>
  <c r="KS7" i="12"/>
  <c r="KS8" i="12" s="1"/>
  <c r="KS6" i="12" s="1"/>
  <c r="KR7" i="12"/>
  <c r="KR8" i="12" s="1"/>
  <c r="KR6" i="12" s="1"/>
  <c r="KQ7" i="12"/>
  <c r="KQ8" i="12" s="1"/>
  <c r="KQ6" i="12" s="1"/>
  <c r="KP7" i="12"/>
  <c r="KP8" i="12" s="1"/>
  <c r="KP6" i="12" s="1"/>
  <c r="KO7" i="12"/>
  <c r="KO8" i="12" s="1"/>
  <c r="KN7" i="12"/>
  <c r="KN8" i="12" s="1"/>
  <c r="KN6" i="12" s="1"/>
  <c r="KM7" i="12"/>
  <c r="KM8" i="12" s="1"/>
  <c r="KM6" i="12" s="1"/>
  <c r="KL7" i="12"/>
  <c r="KL8" i="12" s="1"/>
  <c r="KL6" i="12" s="1"/>
  <c r="KK7" i="12"/>
  <c r="KK8" i="12" s="1"/>
  <c r="KK6" i="12" s="1"/>
  <c r="KJ7" i="12"/>
  <c r="KJ8" i="12" s="1"/>
  <c r="KJ6" i="12" s="1"/>
  <c r="KI7" i="12"/>
  <c r="KI8" i="12" s="1"/>
  <c r="KI6" i="12" s="1"/>
  <c r="KH7" i="12"/>
  <c r="KH8" i="12" s="1"/>
  <c r="KH6" i="12" s="1"/>
  <c r="KG7" i="12"/>
  <c r="KG8" i="12" s="1"/>
  <c r="KG6" i="12" s="1"/>
  <c r="KF7" i="12"/>
  <c r="KF8" i="12" s="1"/>
  <c r="KF6" i="12" s="1"/>
  <c r="KE7" i="12"/>
  <c r="KE8" i="12" s="1"/>
  <c r="KE6" i="12" s="1"/>
  <c r="KD7" i="12"/>
  <c r="KD8" i="12" s="1"/>
  <c r="KD6" i="12" s="1"/>
  <c r="KC7" i="12"/>
  <c r="KC8" i="12" s="1"/>
  <c r="KC6" i="12" s="1"/>
  <c r="KB7" i="12"/>
  <c r="KB8" i="12" s="1"/>
  <c r="KB6" i="12" s="1"/>
  <c r="KA7" i="12"/>
  <c r="KA8" i="12" s="1"/>
  <c r="KA6" i="12" s="1"/>
  <c r="JZ7" i="12"/>
  <c r="JZ8" i="12" s="1"/>
  <c r="JZ6" i="12" s="1"/>
  <c r="JY7" i="12"/>
  <c r="JY8" i="12" s="1"/>
  <c r="JY6" i="12" s="1"/>
  <c r="JX7" i="12"/>
  <c r="JX8" i="12" s="1"/>
  <c r="JX6" i="12" s="1"/>
  <c r="JW7" i="12"/>
  <c r="JW8" i="12" s="1"/>
  <c r="JW6" i="12" s="1"/>
  <c r="JV7" i="12"/>
  <c r="JV8" i="12" s="1"/>
  <c r="JV6" i="12" s="1"/>
  <c r="JU7" i="12"/>
  <c r="JU8" i="12" s="1"/>
  <c r="JU6" i="12" s="1"/>
  <c r="JT7" i="12"/>
  <c r="JT8" i="12" s="1"/>
  <c r="JT6" i="12" s="1"/>
  <c r="JS7" i="12"/>
  <c r="JS8" i="12" s="1"/>
  <c r="JS6" i="12" s="1"/>
  <c r="JR7" i="12"/>
  <c r="JR8" i="12" s="1"/>
  <c r="JR6" i="12" s="1"/>
  <c r="JQ7" i="12"/>
  <c r="JQ8" i="12" s="1"/>
  <c r="JQ6" i="12" s="1"/>
  <c r="JP7" i="12"/>
  <c r="JP8" i="12" s="1"/>
  <c r="JP6" i="12" s="1"/>
  <c r="JO7" i="12"/>
  <c r="JO8" i="12" s="1"/>
  <c r="JO6" i="12" s="1"/>
  <c r="JN7" i="12"/>
  <c r="JN8" i="12" s="1"/>
  <c r="JN6" i="12" s="1"/>
  <c r="JM7" i="12"/>
  <c r="JM8" i="12" s="1"/>
  <c r="JM6" i="12" s="1"/>
  <c r="JL7" i="12"/>
  <c r="JL8" i="12" s="1"/>
  <c r="JL6" i="12" s="1"/>
  <c r="JK7" i="12"/>
  <c r="JK8" i="12" s="1"/>
  <c r="JK6" i="12" s="1"/>
  <c r="JJ7" i="12"/>
  <c r="JJ8" i="12" s="1"/>
  <c r="JJ6" i="12" s="1"/>
  <c r="JI7" i="12"/>
  <c r="JI8" i="12" s="1"/>
  <c r="JI6" i="12" s="1"/>
  <c r="JH7" i="12"/>
  <c r="JH8" i="12" s="1"/>
  <c r="JH6" i="12" s="1"/>
  <c r="JG7" i="12"/>
  <c r="JG8" i="12" s="1"/>
  <c r="JG6" i="12" s="1"/>
  <c r="JF7" i="12"/>
  <c r="JF8" i="12" s="1"/>
  <c r="JF6" i="12" s="1"/>
  <c r="JE7" i="12"/>
  <c r="JE8" i="12" s="1"/>
  <c r="JE6" i="12" s="1"/>
  <c r="JD7" i="12"/>
  <c r="JD8" i="12" s="1"/>
  <c r="JD6" i="12" s="1"/>
  <c r="JC7" i="12"/>
  <c r="JC8" i="12" s="1"/>
  <c r="JC6" i="12" s="1"/>
  <c r="JB7" i="12"/>
  <c r="JB8" i="12" s="1"/>
  <c r="JB6" i="12" s="1"/>
  <c r="JA7" i="12"/>
  <c r="JA8" i="12" s="1"/>
  <c r="JA6" i="12" s="1"/>
  <c r="IZ7" i="12"/>
  <c r="IZ8" i="12" s="1"/>
  <c r="IZ6" i="12" s="1"/>
  <c r="IY7" i="12"/>
  <c r="IY8" i="12" s="1"/>
  <c r="IY6" i="12" s="1"/>
  <c r="IX7" i="12"/>
  <c r="IX8" i="12" s="1"/>
  <c r="IX6" i="12" s="1"/>
  <c r="IW7" i="12"/>
  <c r="IW8" i="12" s="1"/>
  <c r="IW6" i="12" s="1"/>
  <c r="IV7" i="12"/>
  <c r="IV8" i="12" s="1"/>
  <c r="IV6" i="12" s="1"/>
  <c r="IU7" i="12"/>
  <c r="IU8" i="12" s="1"/>
  <c r="IU6" i="12" s="1"/>
  <c r="IT7" i="12"/>
  <c r="IT8" i="12" s="1"/>
  <c r="IT6" i="12" s="1"/>
  <c r="IS7" i="12"/>
  <c r="IS8" i="12" s="1"/>
  <c r="IS6" i="12" s="1"/>
  <c r="IR7" i="12"/>
  <c r="IR8" i="12" s="1"/>
  <c r="IR6" i="12" s="1"/>
  <c r="IQ7" i="12"/>
  <c r="IQ8" i="12" s="1"/>
  <c r="IQ6" i="12" s="1"/>
  <c r="IP7" i="12"/>
  <c r="IP8" i="12" s="1"/>
  <c r="IP6" i="12" s="1"/>
  <c r="IO7" i="12"/>
  <c r="IO8" i="12" s="1"/>
  <c r="IO6" i="12" s="1"/>
  <c r="IN7" i="12"/>
  <c r="IN8" i="12" s="1"/>
  <c r="IN6" i="12" s="1"/>
  <c r="IM7" i="12"/>
  <c r="IM8" i="12" s="1"/>
  <c r="IM6" i="12" s="1"/>
  <c r="IL7" i="12"/>
  <c r="IL8" i="12" s="1"/>
  <c r="IL6" i="12" s="1"/>
  <c r="IK7" i="12"/>
  <c r="IK8" i="12" s="1"/>
  <c r="IK6" i="12" s="1"/>
  <c r="IJ7" i="12"/>
  <c r="IJ8" i="12" s="1"/>
  <c r="IJ6" i="12" s="1"/>
  <c r="II7" i="12"/>
  <c r="II8" i="12" s="1"/>
  <c r="II6" i="12" s="1"/>
  <c r="IH7" i="12"/>
  <c r="IH8" i="12" s="1"/>
  <c r="IH6" i="12" s="1"/>
  <c r="IG7" i="12"/>
  <c r="IG8" i="12" s="1"/>
  <c r="IG6" i="12" s="1"/>
  <c r="IF7" i="12"/>
  <c r="IF8" i="12" s="1"/>
  <c r="IF6" i="12" s="1"/>
  <c r="IE7" i="12"/>
  <c r="IE8" i="12" s="1"/>
  <c r="IE6" i="12" s="1"/>
  <c r="ID7" i="12"/>
  <c r="ID8" i="12" s="1"/>
  <c r="ID6" i="12" s="1"/>
  <c r="IC7" i="12"/>
  <c r="IC8" i="12" s="1"/>
  <c r="IC6" i="12" s="1"/>
  <c r="IB7" i="12"/>
  <c r="IB8" i="12" s="1"/>
  <c r="IB6" i="12" s="1"/>
  <c r="IA7" i="12"/>
  <c r="IA8" i="12" s="1"/>
  <c r="IA6" i="12" s="1"/>
  <c r="HZ7" i="12"/>
  <c r="HZ8" i="12" s="1"/>
  <c r="HZ6" i="12" s="1"/>
  <c r="HY7" i="12"/>
  <c r="HY8" i="12" s="1"/>
  <c r="HY6" i="12" s="1"/>
  <c r="HX7" i="12"/>
  <c r="HX8" i="12" s="1"/>
  <c r="HX6" i="12" s="1"/>
  <c r="HW7" i="12"/>
  <c r="HW8" i="12" s="1"/>
  <c r="HW6" i="12" s="1"/>
  <c r="HV7" i="12"/>
  <c r="HV8" i="12" s="1"/>
  <c r="HV6" i="12" s="1"/>
  <c r="HU7" i="12"/>
  <c r="HU8" i="12" s="1"/>
  <c r="HU6" i="12" s="1"/>
  <c r="HT7" i="12"/>
  <c r="HT8" i="12" s="1"/>
  <c r="HT6" i="12" s="1"/>
  <c r="HS7" i="12"/>
  <c r="HS8" i="12" s="1"/>
  <c r="HS6" i="12" s="1"/>
  <c r="HR7" i="12"/>
  <c r="HR8" i="12" s="1"/>
  <c r="HR6" i="12" s="1"/>
  <c r="HQ7" i="12"/>
  <c r="HQ8" i="12" s="1"/>
  <c r="HQ6" i="12" s="1"/>
  <c r="HP7" i="12"/>
  <c r="HP8" i="12" s="1"/>
  <c r="HP6" i="12" s="1"/>
  <c r="HO7" i="12"/>
  <c r="HO8" i="12" s="1"/>
  <c r="HO6" i="12" s="1"/>
  <c r="HN7" i="12"/>
  <c r="HN8" i="12" s="1"/>
  <c r="HN6" i="12" s="1"/>
  <c r="HM7" i="12"/>
  <c r="HM8" i="12" s="1"/>
  <c r="HM6" i="12" s="1"/>
  <c r="HL7" i="12"/>
  <c r="HL8" i="12" s="1"/>
  <c r="HL6" i="12" s="1"/>
  <c r="HK7" i="12"/>
  <c r="HK8" i="12" s="1"/>
  <c r="HK6" i="12" s="1"/>
  <c r="HJ7" i="12"/>
  <c r="HJ8" i="12" s="1"/>
  <c r="HJ6" i="12" s="1"/>
  <c r="HI7" i="12"/>
  <c r="HI8" i="12" s="1"/>
  <c r="HI6" i="12" s="1"/>
  <c r="HH7" i="12"/>
  <c r="HH8" i="12" s="1"/>
  <c r="HH6" i="12" s="1"/>
  <c r="HG7" i="12"/>
  <c r="HG8" i="12" s="1"/>
  <c r="HG6" i="12" s="1"/>
  <c r="HF7" i="12"/>
  <c r="HF8" i="12" s="1"/>
  <c r="HF6" i="12" s="1"/>
  <c r="HE7" i="12"/>
  <c r="HE8" i="12" s="1"/>
  <c r="HE6" i="12" s="1"/>
  <c r="HD7" i="12"/>
  <c r="HD8" i="12" s="1"/>
  <c r="HD6" i="12" s="1"/>
  <c r="HC7" i="12"/>
  <c r="HC8" i="12" s="1"/>
  <c r="HC6" i="12" s="1"/>
  <c r="HB7" i="12"/>
  <c r="HB8" i="12" s="1"/>
  <c r="HB6" i="12" s="1"/>
  <c r="HA7" i="12"/>
  <c r="HA8" i="12" s="1"/>
  <c r="HA6" i="12" s="1"/>
  <c r="GZ7" i="12"/>
  <c r="GZ8" i="12" s="1"/>
  <c r="GZ6" i="12" s="1"/>
  <c r="GY7" i="12"/>
  <c r="GY8" i="12" s="1"/>
  <c r="GY6" i="12" s="1"/>
  <c r="GX7" i="12"/>
  <c r="GX8" i="12" s="1"/>
  <c r="GX6" i="12" s="1"/>
  <c r="GW7" i="12"/>
  <c r="GW8" i="12" s="1"/>
  <c r="GW6" i="12" s="1"/>
  <c r="GV7" i="12"/>
  <c r="GV8" i="12" s="1"/>
  <c r="GV6" i="12" s="1"/>
  <c r="GU7" i="12"/>
  <c r="GU8" i="12" s="1"/>
  <c r="GU6" i="12" s="1"/>
  <c r="GT7" i="12"/>
  <c r="GT8" i="12" s="1"/>
  <c r="GT6" i="12" s="1"/>
  <c r="GS7" i="12"/>
  <c r="GS8" i="12" s="1"/>
  <c r="GS6" i="12" s="1"/>
  <c r="GR7" i="12"/>
  <c r="GR8" i="12" s="1"/>
  <c r="GR6" i="12" s="1"/>
  <c r="GQ7" i="12"/>
  <c r="GQ8" i="12" s="1"/>
  <c r="GQ6" i="12" s="1"/>
  <c r="GP7" i="12"/>
  <c r="GP8" i="12" s="1"/>
  <c r="GP6" i="12" s="1"/>
  <c r="GO7" i="12"/>
  <c r="GO8" i="12" s="1"/>
  <c r="GO6" i="12" s="1"/>
  <c r="GN7" i="12"/>
  <c r="GN8" i="12" s="1"/>
  <c r="GN6" i="12" s="1"/>
  <c r="GM7" i="12"/>
  <c r="GM8" i="12" s="1"/>
  <c r="GM6" i="12" s="1"/>
  <c r="GL7" i="12"/>
  <c r="GL8" i="12" s="1"/>
  <c r="GL6" i="12" s="1"/>
  <c r="GK7" i="12"/>
  <c r="GK8" i="12" s="1"/>
  <c r="GK6" i="12" s="1"/>
  <c r="GJ7" i="12"/>
  <c r="GJ8" i="12" s="1"/>
  <c r="GJ6" i="12" s="1"/>
  <c r="GI7" i="12"/>
  <c r="GI8" i="12" s="1"/>
  <c r="GI6" i="12" s="1"/>
  <c r="GH7" i="12"/>
  <c r="GH8" i="12" s="1"/>
  <c r="GH6" i="12" s="1"/>
  <c r="GG7" i="12"/>
  <c r="GG8" i="12" s="1"/>
  <c r="GG6" i="12" s="1"/>
  <c r="GF7" i="12"/>
  <c r="GF8" i="12" s="1"/>
  <c r="GF6" i="12" s="1"/>
  <c r="GE7" i="12"/>
  <c r="GE8" i="12" s="1"/>
  <c r="GE6" i="12" s="1"/>
  <c r="GD7" i="12"/>
  <c r="GD8" i="12" s="1"/>
  <c r="GD6" i="12" s="1"/>
  <c r="GC7" i="12"/>
  <c r="GC8" i="12" s="1"/>
  <c r="GC6" i="12" s="1"/>
  <c r="GB7" i="12"/>
  <c r="GB8" i="12" s="1"/>
  <c r="GB6" i="12" s="1"/>
  <c r="GA7" i="12"/>
  <c r="GA8" i="12" s="1"/>
  <c r="GA6" i="12" s="1"/>
  <c r="FZ7" i="12"/>
  <c r="FZ8" i="12" s="1"/>
  <c r="FZ6" i="12" s="1"/>
  <c r="FY7" i="12"/>
  <c r="FY8" i="12" s="1"/>
  <c r="FY6" i="12" s="1"/>
  <c r="FX7" i="12"/>
  <c r="FX8" i="12" s="1"/>
  <c r="FX6" i="12" s="1"/>
  <c r="FW7" i="12"/>
  <c r="FW8" i="12" s="1"/>
  <c r="FW6" i="12" s="1"/>
  <c r="FV7" i="12"/>
  <c r="FV8" i="12" s="1"/>
  <c r="FV6" i="12" s="1"/>
  <c r="FU7" i="12"/>
  <c r="FU8" i="12" s="1"/>
  <c r="FU6" i="12" s="1"/>
  <c r="FT7" i="12"/>
  <c r="FT8" i="12" s="1"/>
  <c r="FT6" i="12" s="1"/>
  <c r="FS7" i="12"/>
  <c r="FS8" i="12" s="1"/>
  <c r="FS6" i="12" s="1"/>
  <c r="FR7" i="12"/>
  <c r="FR8" i="12" s="1"/>
  <c r="FR6" i="12" s="1"/>
  <c r="FQ7" i="12"/>
  <c r="FQ8" i="12" s="1"/>
  <c r="FQ6" i="12" s="1"/>
  <c r="FP7" i="12"/>
  <c r="FP8" i="12" s="1"/>
  <c r="FP6" i="12" s="1"/>
  <c r="FO7" i="12"/>
  <c r="FO8" i="12" s="1"/>
  <c r="FO6" i="12" s="1"/>
  <c r="FN7" i="12"/>
  <c r="FN8" i="12" s="1"/>
  <c r="FN6" i="12" s="1"/>
  <c r="FM7" i="12"/>
  <c r="FM8" i="12" s="1"/>
  <c r="FM6" i="12" s="1"/>
  <c r="FL7" i="12"/>
  <c r="FL8" i="12" s="1"/>
  <c r="FL6" i="12" s="1"/>
  <c r="FK7" i="12"/>
  <c r="FK8" i="12" s="1"/>
  <c r="FK6" i="12" s="1"/>
  <c r="FJ7" i="12"/>
  <c r="FJ8" i="12" s="1"/>
  <c r="FJ6" i="12" s="1"/>
  <c r="FI7" i="12"/>
  <c r="FI8" i="12" s="1"/>
  <c r="FI6" i="12" s="1"/>
  <c r="FH7" i="12"/>
  <c r="FH8" i="12" s="1"/>
  <c r="FH6" i="12" s="1"/>
  <c r="FG7" i="12"/>
  <c r="FG8" i="12" s="1"/>
  <c r="FG6" i="12" s="1"/>
  <c r="FF7" i="12"/>
  <c r="FF8" i="12" s="1"/>
  <c r="FF6" i="12" s="1"/>
  <c r="FE7" i="12"/>
  <c r="FE8" i="12" s="1"/>
  <c r="FE6" i="12" s="1"/>
  <c r="FD7" i="12"/>
  <c r="FD8" i="12" s="1"/>
  <c r="FD6" i="12" s="1"/>
  <c r="FC7" i="12"/>
  <c r="FC8" i="12" s="1"/>
  <c r="FC6" i="12" s="1"/>
  <c r="FB7" i="12"/>
  <c r="FB8" i="12" s="1"/>
  <c r="FB6" i="12" s="1"/>
  <c r="FA7" i="12"/>
  <c r="FA8" i="12" s="1"/>
  <c r="FA6" i="12" s="1"/>
  <c r="EZ7" i="12"/>
  <c r="EZ8" i="12" s="1"/>
  <c r="EZ6" i="12" s="1"/>
  <c r="EY7" i="12"/>
  <c r="EY8" i="12" s="1"/>
  <c r="EY6" i="12" s="1"/>
  <c r="EX7" i="12"/>
  <c r="EX8" i="12" s="1"/>
  <c r="EX6" i="12" s="1"/>
  <c r="EW7" i="12"/>
  <c r="EW8" i="12" s="1"/>
  <c r="EW6" i="12" s="1"/>
  <c r="EV7" i="12"/>
  <c r="EV8" i="12" s="1"/>
  <c r="EV6" i="12" s="1"/>
  <c r="EU7" i="12"/>
  <c r="EU8" i="12" s="1"/>
  <c r="EU6" i="12" s="1"/>
  <c r="ET7" i="12"/>
  <c r="ET8" i="12" s="1"/>
  <c r="ET6" i="12" s="1"/>
  <c r="ES7" i="12"/>
  <c r="ES8" i="12" s="1"/>
  <c r="ES6" i="12" s="1"/>
  <c r="ER7" i="12"/>
  <c r="ER8" i="12" s="1"/>
  <c r="ER6" i="12" s="1"/>
  <c r="EQ7" i="12"/>
  <c r="EQ8" i="12" s="1"/>
  <c r="EQ6" i="12" s="1"/>
  <c r="EP7" i="12"/>
  <c r="EP8" i="12" s="1"/>
  <c r="EP6" i="12" s="1"/>
  <c r="EO7" i="12"/>
  <c r="EO8" i="12" s="1"/>
  <c r="EO6" i="12" s="1"/>
  <c r="EN7" i="12"/>
  <c r="EN8" i="12" s="1"/>
  <c r="EN6" i="12" s="1"/>
  <c r="EM7" i="12"/>
  <c r="EM8" i="12" s="1"/>
  <c r="EM6" i="12" s="1"/>
  <c r="EL7" i="12"/>
  <c r="EL8" i="12" s="1"/>
  <c r="EL6" i="12" s="1"/>
  <c r="EK7" i="12"/>
  <c r="EK8" i="12" s="1"/>
  <c r="EK6" i="12" s="1"/>
  <c r="EJ7" i="12"/>
  <c r="EJ8" i="12" s="1"/>
  <c r="EJ6" i="12" s="1"/>
  <c r="EI7" i="12"/>
  <c r="EI8" i="12" s="1"/>
  <c r="EI6" i="12" s="1"/>
  <c r="EH7" i="12"/>
  <c r="EH8" i="12" s="1"/>
  <c r="EH6" i="12" s="1"/>
  <c r="EG7" i="12"/>
  <c r="EG8" i="12" s="1"/>
  <c r="EG6" i="12" s="1"/>
  <c r="EF7" i="12"/>
  <c r="EF8" i="12" s="1"/>
  <c r="EF6" i="12" s="1"/>
  <c r="EE7" i="12"/>
  <c r="EE8" i="12" s="1"/>
  <c r="EE6" i="12" s="1"/>
  <c r="ED7" i="12"/>
  <c r="ED8" i="12" s="1"/>
  <c r="ED6" i="12" s="1"/>
  <c r="EC7" i="12"/>
  <c r="EC8" i="12" s="1"/>
  <c r="EC6" i="12" s="1"/>
  <c r="EB7" i="12"/>
  <c r="EB8" i="12" s="1"/>
  <c r="EB6" i="12" s="1"/>
  <c r="EA7" i="12"/>
  <c r="EA8" i="12" s="1"/>
  <c r="EA6" i="12" s="1"/>
  <c r="DZ7" i="12"/>
  <c r="DZ8" i="12" s="1"/>
  <c r="DZ6" i="12" s="1"/>
  <c r="DY7" i="12"/>
  <c r="DY8" i="12" s="1"/>
  <c r="DY6" i="12" s="1"/>
  <c r="DX7" i="12"/>
  <c r="DX8" i="12" s="1"/>
  <c r="DX6" i="12" s="1"/>
  <c r="DW7" i="12"/>
  <c r="DW8" i="12" s="1"/>
  <c r="DW6" i="12" s="1"/>
  <c r="DV7" i="12"/>
  <c r="DV8" i="12" s="1"/>
  <c r="DV6" i="12" s="1"/>
  <c r="DU7" i="12"/>
  <c r="DU8" i="12" s="1"/>
  <c r="DU6" i="12" s="1"/>
  <c r="DT7" i="12"/>
  <c r="DT8" i="12" s="1"/>
  <c r="DT6" i="12" s="1"/>
  <c r="DS7" i="12"/>
  <c r="DS8" i="12" s="1"/>
  <c r="DS6" i="12" s="1"/>
  <c r="DR7" i="12"/>
  <c r="DR8" i="12" s="1"/>
  <c r="DR6" i="12" s="1"/>
  <c r="DQ7" i="12"/>
  <c r="DQ8" i="12" s="1"/>
  <c r="DQ6" i="12" s="1"/>
  <c r="DP7" i="12"/>
  <c r="DP8" i="12" s="1"/>
  <c r="DP6" i="12" s="1"/>
  <c r="DO7" i="12"/>
  <c r="DO8" i="12" s="1"/>
  <c r="DO6" i="12" s="1"/>
  <c r="DN7" i="12"/>
  <c r="DN8" i="12" s="1"/>
  <c r="DN6" i="12" s="1"/>
  <c r="DM7" i="12"/>
  <c r="DM8" i="12" s="1"/>
  <c r="DM6" i="12" s="1"/>
  <c r="DL7" i="12"/>
  <c r="DL8" i="12" s="1"/>
  <c r="DL6" i="12" s="1"/>
  <c r="DK7" i="12"/>
  <c r="DK8" i="12" s="1"/>
  <c r="DK6" i="12" s="1"/>
  <c r="DJ7" i="12"/>
  <c r="DJ8" i="12" s="1"/>
  <c r="DJ6" i="12" s="1"/>
  <c r="DI7" i="12"/>
  <c r="DI8" i="12" s="1"/>
  <c r="DI6" i="12" s="1"/>
  <c r="DH7" i="12"/>
  <c r="DH8" i="12" s="1"/>
  <c r="DH6" i="12" s="1"/>
  <c r="DG7" i="12"/>
  <c r="DG8" i="12" s="1"/>
  <c r="DG6" i="12" s="1"/>
  <c r="DF7" i="12"/>
  <c r="DF8" i="12" s="1"/>
  <c r="DF6" i="12" s="1"/>
  <c r="DE7" i="12"/>
  <c r="DE8" i="12" s="1"/>
  <c r="DE6" i="12" s="1"/>
  <c r="DD7" i="12"/>
  <c r="DD8" i="12" s="1"/>
  <c r="DD6" i="12" s="1"/>
  <c r="DC7" i="12"/>
  <c r="DC8" i="12" s="1"/>
  <c r="DC6" i="12" s="1"/>
  <c r="DB7" i="12"/>
  <c r="DB8" i="12" s="1"/>
  <c r="DB6" i="12" s="1"/>
  <c r="DA7" i="12"/>
  <c r="DA8" i="12" s="1"/>
  <c r="DA6" i="12" s="1"/>
  <c r="CZ7" i="12"/>
  <c r="CZ8" i="12" s="1"/>
  <c r="CZ6" i="12" s="1"/>
  <c r="CY7" i="12"/>
  <c r="CY8" i="12" s="1"/>
  <c r="CY6" i="12" s="1"/>
  <c r="CX7" i="12"/>
  <c r="CX8" i="12" s="1"/>
  <c r="CX6" i="12" s="1"/>
  <c r="CW7" i="12"/>
  <c r="CW8" i="12" s="1"/>
  <c r="CW6" i="12" s="1"/>
  <c r="CV7" i="12"/>
  <c r="CV8" i="12" s="1"/>
  <c r="CV6" i="12" s="1"/>
  <c r="CU7" i="12"/>
  <c r="CU8" i="12" s="1"/>
  <c r="CU6" i="12" s="1"/>
  <c r="CT7" i="12"/>
  <c r="CT8" i="12" s="1"/>
  <c r="CT6" i="12" s="1"/>
  <c r="CS7" i="12"/>
  <c r="CS8" i="12" s="1"/>
  <c r="CS6" i="12" s="1"/>
  <c r="CR7" i="12"/>
  <c r="CR8" i="12" s="1"/>
  <c r="CR6" i="12" s="1"/>
  <c r="CQ7" i="12"/>
  <c r="CQ8" i="12" s="1"/>
  <c r="CQ6" i="12" s="1"/>
  <c r="CP7" i="12"/>
  <c r="CP8" i="12" s="1"/>
  <c r="CP6" i="12" s="1"/>
  <c r="CO7" i="12"/>
  <c r="CO8" i="12" s="1"/>
  <c r="CO6" i="12" s="1"/>
  <c r="CN7" i="12"/>
  <c r="CN8" i="12" s="1"/>
  <c r="CN6" i="12" s="1"/>
  <c r="CM7" i="12"/>
  <c r="CM8" i="12" s="1"/>
  <c r="CM6" i="12" s="1"/>
  <c r="CL7" i="12"/>
  <c r="CL8" i="12" s="1"/>
  <c r="CL6" i="12" s="1"/>
  <c r="CK7" i="12"/>
  <c r="CK8" i="12" s="1"/>
  <c r="CK6" i="12" s="1"/>
  <c r="CJ7" i="12"/>
  <c r="CJ8" i="12" s="1"/>
  <c r="CJ6" i="12" s="1"/>
  <c r="CI7" i="12"/>
  <c r="CI8" i="12" s="1"/>
  <c r="CI6" i="12" s="1"/>
  <c r="CH7" i="12"/>
  <c r="CH8" i="12" s="1"/>
  <c r="CH6" i="12" s="1"/>
  <c r="CG7" i="12"/>
  <c r="CG8" i="12" s="1"/>
  <c r="CG6" i="12" s="1"/>
  <c r="CF7" i="12"/>
  <c r="CF8" i="12" s="1"/>
  <c r="CF6" i="12" s="1"/>
  <c r="CE7" i="12"/>
  <c r="CE8" i="12" s="1"/>
  <c r="CE6" i="12" s="1"/>
  <c r="CD7" i="12"/>
  <c r="CD8" i="12" s="1"/>
  <c r="CD6" i="12" s="1"/>
  <c r="CC7" i="12"/>
  <c r="CC8" i="12" s="1"/>
  <c r="CC6" i="12" s="1"/>
  <c r="CB7" i="12"/>
  <c r="CB8" i="12" s="1"/>
  <c r="CB6" i="12" s="1"/>
  <c r="CA7" i="12"/>
  <c r="CA8" i="12" s="1"/>
  <c r="CA6" i="12" s="1"/>
  <c r="BZ7" i="12"/>
  <c r="BZ8" i="12" s="1"/>
  <c r="BZ6" i="12" s="1"/>
  <c r="BY7" i="12"/>
  <c r="BY8" i="12" s="1"/>
  <c r="BY6" i="12" s="1"/>
  <c r="BX7" i="12"/>
  <c r="BX8" i="12" s="1"/>
  <c r="BX6" i="12" s="1"/>
  <c r="BW7" i="12"/>
  <c r="BW8" i="12" s="1"/>
  <c r="BW6" i="12" s="1"/>
  <c r="BV7" i="12"/>
  <c r="BV8" i="12" s="1"/>
  <c r="BV6" i="12" s="1"/>
  <c r="BU7" i="12"/>
  <c r="BU8" i="12" s="1"/>
  <c r="BU6" i="12" s="1"/>
  <c r="BT7" i="12"/>
  <c r="BT8" i="12" s="1"/>
  <c r="BT6" i="12" s="1"/>
  <c r="BS7" i="12"/>
  <c r="BS8" i="12" s="1"/>
  <c r="BS6" i="12" s="1"/>
  <c r="BR7" i="12"/>
  <c r="BR8" i="12" s="1"/>
  <c r="BR6" i="12" s="1"/>
  <c r="BQ7" i="12"/>
  <c r="BQ8" i="12" s="1"/>
  <c r="BQ6" i="12" s="1"/>
  <c r="BP7" i="12"/>
  <c r="BP8" i="12" s="1"/>
  <c r="BP6" i="12" s="1"/>
  <c r="BO7" i="12"/>
  <c r="BO8" i="12" s="1"/>
  <c r="BO6" i="12" s="1"/>
  <c r="BN7" i="12"/>
  <c r="BN8" i="12" s="1"/>
  <c r="BN6" i="12" s="1"/>
  <c r="BM7" i="12"/>
  <c r="BM8" i="12" s="1"/>
  <c r="BM6" i="12" s="1"/>
  <c r="BL7" i="12"/>
  <c r="BL8" i="12" s="1"/>
  <c r="BL6" i="12" s="1"/>
  <c r="BK7" i="12"/>
  <c r="BK8" i="12" s="1"/>
  <c r="BK6" i="12" s="1"/>
  <c r="BJ7" i="12"/>
  <c r="BJ8" i="12" s="1"/>
  <c r="BJ6" i="12" s="1"/>
  <c r="BI7" i="12"/>
  <c r="BI8" i="12" s="1"/>
  <c r="BI6" i="12" s="1"/>
  <c r="BH7" i="12"/>
  <c r="BH8" i="12" s="1"/>
  <c r="BH6" i="12" s="1"/>
  <c r="BG7" i="12"/>
  <c r="BG8" i="12" s="1"/>
  <c r="BG6" i="12" s="1"/>
  <c r="BF7" i="12"/>
  <c r="BF8" i="12" s="1"/>
  <c r="BF6" i="12" s="1"/>
  <c r="BE7" i="12"/>
  <c r="BE8" i="12" s="1"/>
  <c r="BE6" i="12" s="1"/>
  <c r="BD7" i="12"/>
  <c r="BD8" i="12" s="1"/>
  <c r="BD6" i="12" s="1"/>
  <c r="BC7" i="12"/>
  <c r="BC8" i="12" s="1"/>
  <c r="BC6" i="12" s="1"/>
  <c r="BB7" i="12"/>
  <c r="BB8" i="12" s="1"/>
  <c r="BB6" i="12" s="1"/>
  <c r="BA7" i="12"/>
  <c r="BA8" i="12" s="1"/>
  <c r="BA6" i="12" s="1"/>
  <c r="AZ7" i="12"/>
  <c r="AZ8" i="12" s="1"/>
  <c r="AZ6" i="12" s="1"/>
  <c r="AY7" i="12"/>
  <c r="AY8" i="12" s="1"/>
  <c r="AY6" i="12" s="1"/>
  <c r="AX7" i="12"/>
  <c r="AX8" i="12" s="1"/>
  <c r="AX6" i="12" s="1"/>
  <c r="AW7" i="12"/>
  <c r="AW8" i="12" s="1"/>
  <c r="AW6" i="12" s="1"/>
  <c r="AV7" i="12"/>
  <c r="AV8" i="12" s="1"/>
  <c r="AV6" i="12" s="1"/>
  <c r="AU7" i="12"/>
  <c r="AU8" i="12" s="1"/>
  <c r="AU6" i="12" s="1"/>
  <c r="AT7" i="12"/>
  <c r="AT8" i="12" s="1"/>
  <c r="AT6" i="12" s="1"/>
  <c r="AS7" i="12"/>
  <c r="AS8" i="12" s="1"/>
  <c r="AS6" i="12" s="1"/>
  <c r="AR7" i="12"/>
  <c r="AR8" i="12" s="1"/>
  <c r="AR6" i="12" s="1"/>
  <c r="AQ7" i="12"/>
  <c r="AQ8" i="12" s="1"/>
  <c r="AQ6" i="12" s="1"/>
  <c r="AP7" i="12"/>
  <c r="AP8" i="12" s="1"/>
  <c r="AP6" i="12" s="1"/>
  <c r="AO7" i="12"/>
  <c r="AO8" i="12" s="1"/>
  <c r="AO6" i="12" s="1"/>
  <c r="AN7" i="12"/>
  <c r="AN8" i="12" s="1"/>
  <c r="AN6" i="12" s="1"/>
  <c r="AM7" i="12"/>
  <c r="AM8" i="12" s="1"/>
  <c r="AM6" i="12" s="1"/>
  <c r="AL7" i="12"/>
  <c r="AL8" i="12" s="1"/>
  <c r="AL6" i="12" s="1"/>
  <c r="AK7" i="12"/>
  <c r="AK8" i="12" s="1"/>
  <c r="AK6" i="12" s="1"/>
  <c r="AJ7" i="12"/>
  <c r="AJ8" i="12" s="1"/>
  <c r="AJ6" i="12" s="1"/>
  <c r="AI7" i="12"/>
  <c r="AI8" i="12" s="1"/>
  <c r="AI6" i="12" s="1"/>
  <c r="AH7" i="12"/>
  <c r="AH8" i="12" s="1"/>
  <c r="AH6" i="12" s="1"/>
  <c r="AG7" i="12"/>
  <c r="AG9" i="12" s="1"/>
  <c r="AF7" i="12"/>
  <c r="AF9" i="12" s="1"/>
  <c r="AE7" i="12"/>
  <c r="AE8" i="12" s="1"/>
  <c r="AE6" i="12" s="1"/>
  <c r="AD7" i="12"/>
  <c r="AC7" i="12"/>
  <c r="AC9" i="12" s="1"/>
  <c r="AB7" i="12"/>
  <c r="AA7" i="12"/>
  <c r="AA9" i="12" s="1"/>
  <c r="Z7" i="12"/>
  <c r="Z8" i="12" s="1"/>
  <c r="Z6" i="12" s="1"/>
  <c r="Y7" i="12"/>
  <c r="Y9" i="12" s="1"/>
  <c r="X7" i="12"/>
  <c r="X9" i="12" s="1"/>
  <c r="W7" i="12"/>
  <c r="V7" i="12"/>
  <c r="V8" i="12" s="1"/>
  <c r="V6" i="12" s="1"/>
  <c r="U7" i="12"/>
  <c r="U9" i="12" s="1"/>
  <c r="T7" i="12"/>
  <c r="T8" i="12" s="1"/>
  <c r="T6" i="12" s="1"/>
  <c r="S7" i="12"/>
  <c r="S9" i="12" s="1"/>
  <c r="R7" i="12"/>
  <c r="R8" i="12" s="1"/>
  <c r="R6" i="12" s="1"/>
  <c r="Q7" i="12"/>
  <c r="Q9" i="12" s="1"/>
  <c r="P7" i="12"/>
  <c r="P8" i="12" s="1"/>
  <c r="P6" i="12" s="1"/>
  <c r="O7" i="12"/>
  <c r="N7" i="12"/>
  <c r="M7" i="12"/>
  <c r="M8" i="12" s="1"/>
  <c r="M6" i="12" s="1"/>
  <c r="L7" i="12"/>
  <c r="K7" i="12"/>
  <c r="K9" i="12" s="1"/>
  <c r="J7" i="12"/>
  <c r="I7" i="12"/>
  <c r="I9" i="12" s="1"/>
  <c r="H7" i="12"/>
  <c r="H9" i="12" s="1"/>
  <c r="G7" i="12"/>
  <c r="G8" i="12" s="1"/>
  <c r="G6" i="12" s="1"/>
  <c r="F7" i="12"/>
  <c r="E7" i="12"/>
  <c r="E9" i="12" s="1"/>
  <c r="D7" i="12"/>
  <c r="D8" i="12" s="1"/>
  <c r="D6" i="12" s="1"/>
  <c r="C7" i="12"/>
  <c r="C9" i="12" s="1"/>
  <c r="NI6" i="12"/>
  <c r="NH6" i="12"/>
  <c r="ND6" i="12"/>
  <c r="NA6" i="12"/>
  <c r="MR6" i="12"/>
  <c r="MK6" i="12"/>
  <c r="MB6" i="12"/>
  <c r="LZ6" i="12"/>
  <c r="LT6" i="12"/>
  <c r="KV6" i="12"/>
  <c r="KO6" i="12"/>
  <c r="NJ5" i="12"/>
  <c r="NI5" i="12"/>
  <c r="NH5" i="12"/>
  <c r="NG5" i="12"/>
  <c r="NF5" i="12"/>
  <c r="NE5" i="12"/>
  <c r="ND5" i="12"/>
  <c r="NC5" i="12"/>
  <c r="NB5" i="12"/>
  <c r="NA5" i="12"/>
  <c r="MZ5" i="12"/>
  <c r="MY5" i="12"/>
  <c r="MX5" i="12"/>
  <c r="MW5" i="12"/>
  <c r="MV5" i="12"/>
  <c r="MU5" i="12"/>
  <c r="MT5" i="12"/>
  <c r="MS5" i="12"/>
  <c r="MR5" i="12"/>
  <c r="MQ5" i="12"/>
  <c r="MP5" i="12"/>
  <c r="MO5" i="12"/>
  <c r="MN5" i="12"/>
  <c r="MM5" i="12"/>
  <c r="ML5" i="12"/>
  <c r="MK5" i="12"/>
  <c r="MJ5" i="12"/>
  <c r="MI5" i="12"/>
  <c r="MH5" i="12"/>
  <c r="MG5" i="12"/>
  <c r="MF5" i="12"/>
  <c r="ME5" i="12"/>
  <c r="MD5" i="12"/>
  <c r="MC5" i="12"/>
  <c r="MB5" i="12"/>
  <c r="MA5" i="12"/>
  <c r="LZ5" i="12"/>
  <c r="LY5" i="12"/>
  <c r="LX5" i="12"/>
  <c r="LW5" i="12"/>
  <c r="LV5" i="12"/>
  <c r="LU5" i="12"/>
  <c r="LT5" i="12"/>
  <c r="LS5" i="12"/>
  <c r="LR5" i="12"/>
  <c r="LQ5" i="12"/>
  <c r="LP5" i="12"/>
  <c r="LO5" i="12"/>
  <c r="LN5" i="12"/>
  <c r="LM5" i="12"/>
  <c r="LL5" i="12"/>
  <c r="LK5" i="12"/>
  <c r="LJ5" i="12"/>
  <c r="LI5" i="12"/>
  <c r="LH5" i="12"/>
  <c r="LG5" i="12"/>
  <c r="LF5" i="12"/>
  <c r="LE5" i="12"/>
  <c r="LD5" i="12"/>
  <c r="LC5" i="12"/>
  <c r="LB5" i="12"/>
  <c r="LA5" i="12"/>
  <c r="KZ5" i="12"/>
  <c r="KY5" i="12"/>
  <c r="KX5" i="12"/>
  <c r="KW5" i="12"/>
  <c r="KV5" i="12"/>
  <c r="KU5" i="12"/>
  <c r="KT5" i="12"/>
  <c r="KS5" i="12"/>
  <c r="KR5" i="12"/>
  <c r="KQ5" i="12"/>
  <c r="KP5" i="12"/>
  <c r="KO5" i="12"/>
  <c r="KN5" i="12"/>
  <c r="KM5" i="12"/>
  <c r="KL5" i="12"/>
  <c r="KK5" i="12"/>
  <c r="KJ5" i="12"/>
  <c r="KI5" i="12"/>
  <c r="KH5" i="12"/>
  <c r="KG5" i="12"/>
  <c r="KF5" i="12"/>
  <c r="KE5" i="12"/>
  <c r="KD5" i="12"/>
  <c r="KC5" i="12"/>
  <c r="KB5" i="12"/>
  <c r="KA5" i="12"/>
  <c r="JZ5" i="12"/>
  <c r="JY5" i="12"/>
  <c r="JX5" i="12"/>
  <c r="JW5" i="12"/>
  <c r="JV5" i="12"/>
  <c r="JU5" i="12"/>
  <c r="JT5" i="12"/>
  <c r="JS5" i="12"/>
  <c r="JR5" i="12"/>
  <c r="JQ5" i="12"/>
  <c r="JP5" i="12"/>
  <c r="JO5" i="12"/>
  <c r="JN5" i="12"/>
  <c r="JM5" i="12"/>
  <c r="JL5" i="12"/>
  <c r="JK5" i="12"/>
  <c r="JJ5" i="12"/>
  <c r="JI5" i="12"/>
  <c r="JH5" i="12"/>
  <c r="JG5" i="12"/>
  <c r="JF5" i="12"/>
  <c r="JE5" i="12"/>
  <c r="JD5" i="12"/>
  <c r="JC5" i="12"/>
  <c r="JB5" i="12"/>
  <c r="JA5" i="12"/>
  <c r="IZ5" i="12"/>
  <c r="IY5" i="12"/>
  <c r="IX5" i="12"/>
  <c r="IW5" i="12"/>
  <c r="IV5" i="12"/>
  <c r="IU5" i="12"/>
  <c r="IT5" i="12"/>
  <c r="IS5" i="12"/>
  <c r="IR5" i="12"/>
  <c r="IQ5" i="12"/>
  <c r="IP5" i="12"/>
  <c r="IO5" i="12"/>
  <c r="IN5" i="12"/>
  <c r="IM5" i="12"/>
  <c r="IL5" i="12"/>
  <c r="IK5" i="12"/>
  <c r="IJ5" i="12"/>
  <c r="II5" i="12"/>
  <c r="IH5" i="12"/>
  <c r="IG5" i="12"/>
  <c r="IF5" i="12"/>
  <c r="IE5" i="12"/>
  <c r="ID5" i="12"/>
  <c r="IC5" i="12"/>
  <c r="IB5" i="12"/>
  <c r="IA5" i="12"/>
  <c r="HZ5" i="12"/>
  <c r="HY5" i="12"/>
  <c r="HX5" i="12"/>
  <c r="HW5" i="12"/>
  <c r="HV5" i="12"/>
  <c r="HU5" i="12"/>
  <c r="HT5" i="12"/>
  <c r="HS5" i="12"/>
  <c r="HR5" i="12"/>
  <c r="HQ5" i="12"/>
  <c r="HP5" i="12"/>
  <c r="HO5" i="12"/>
  <c r="HN5" i="12"/>
  <c r="HM5" i="12"/>
  <c r="HL5" i="12"/>
  <c r="HK5" i="12"/>
  <c r="HJ5" i="12"/>
  <c r="HI5" i="12"/>
  <c r="HH5" i="12"/>
  <c r="HG5" i="12"/>
  <c r="HF5" i="12"/>
  <c r="HE5" i="12"/>
  <c r="HD5" i="12"/>
  <c r="HC5" i="12"/>
  <c r="HB5" i="12"/>
  <c r="HA5" i="12"/>
  <c r="GZ5" i="12"/>
  <c r="GY5" i="12"/>
  <c r="GX5" i="12"/>
  <c r="GW5" i="12"/>
  <c r="GV5" i="12"/>
  <c r="GU5" i="12"/>
  <c r="GT5" i="12"/>
  <c r="GS5" i="12"/>
  <c r="GR5" i="12"/>
  <c r="GQ5" i="12"/>
  <c r="GP5" i="12"/>
  <c r="GO5" i="12"/>
  <c r="GN5" i="12"/>
  <c r="GM5" i="12"/>
  <c r="GL5" i="12"/>
  <c r="GK5" i="12"/>
  <c r="GJ5" i="12"/>
  <c r="GI5" i="12"/>
  <c r="GH5" i="12"/>
  <c r="GG5" i="12"/>
  <c r="GF5" i="12"/>
  <c r="GE5" i="12"/>
  <c r="GD5" i="12"/>
  <c r="GC5" i="12"/>
  <c r="GB5" i="12"/>
  <c r="GA5" i="12"/>
  <c r="FZ5" i="12"/>
  <c r="FY5" i="12"/>
  <c r="FX5" i="12"/>
  <c r="FW5" i="12"/>
  <c r="FV5" i="12"/>
  <c r="FU5" i="12"/>
  <c r="FT5" i="12"/>
  <c r="FS5" i="12"/>
  <c r="FR5" i="12"/>
  <c r="FQ5" i="12"/>
  <c r="FP5" i="12"/>
  <c r="FO5" i="12"/>
  <c r="FN5" i="12"/>
  <c r="FM5" i="12"/>
  <c r="FL5" i="12"/>
  <c r="FK5" i="12"/>
  <c r="FJ5" i="12"/>
  <c r="FI5" i="12"/>
  <c r="FH5" i="12"/>
  <c r="FG5" i="12"/>
  <c r="FF5" i="12"/>
  <c r="FE5" i="12"/>
  <c r="FD5" i="12"/>
  <c r="FC5" i="12"/>
  <c r="FB5" i="12"/>
  <c r="FA5" i="12"/>
  <c r="EZ5" i="12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5" i="12"/>
  <c r="F5" i="12"/>
  <c r="D5" i="12"/>
  <c r="C5" i="12"/>
  <c r="NJ7" i="11"/>
  <c r="NJ8" i="11" s="1"/>
  <c r="NJ6" i="11" s="1"/>
  <c r="NI7" i="11"/>
  <c r="NI8" i="11" s="1"/>
  <c r="NI6" i="11" s="1"/>
  <c r="NH7" i="11"/>
  <c r="NH8" i="11" s="1"/>
  <c r="NH6" i="11" s="1"/>
  <c r="NG7" i="11"/>
  <c r="NG8" i="11" s="1"/>
  <c r="NF7" i="11"/>
  <c r="NF8" i="11" s="1"/>
  <c r="NF6" i="11" s="1"/>
  <c r="NE7" i="11"/>
  <c r="NE8" i="11" s="1"/>
  <c r="NE6" i="11" s="1"/>
  <c r="ND7" i="11"/>
  <c r="ND8" i="11" s="1"/>
  <c r="ND6" i="11" s="1"/>
  <c r="NC7" i="11"/>
  <c r="NC8" i="11" s="1"/>
  <c r="NC6" i="11" s="1"/>
  <c r="NB7" i="11"/>
  <c r="NB8" i="11" s="1"/>
  <c r="NB6" i="11" s="1"/>
  <c r="NA7" i="11"/>
  <c r="NA8" i="11" s="1"/>
  <c r="NA6" i="11" s="1"/>
  <c r="MZ7" i="11"/>
  <c r="MZ8" i="11" s="1"/>
  <c r="MZ6" i="11" s="1"/>
  <c r="MY7" i="11"/>
  <c r="MY8" i="11" s="1"/>
  <c r="MY6" i="11" s="1"/>
  <c r="MX7" i="11"/>
  <c r="MX8" i="11" s="1"/>
  <c r="MX6" i="11" s="1"/>
  <c r="MW7" i="11"/>
  <c r="MW8" i="11" s="1"/>
  <c r="MW6" i="11" s="1"/>
  <c r="MV7" i="11"/>
  <c r="MV8" i="11" s="1"/>
  <c r="MV6" i="11" s="1"/>
  <c r="MU7" i="11"/>
  <c r="MU8" i="11" s="1"/>
  <c r="MU6" i="11" s="1"/>
  <c r="MT7" i="11"/>
  <c r="MT8" i="11" s="1"/>
  <c r="MT6" i="11" s="1"/>
  <c r="MS7" i="11"/>
  <c r="MS8" i="11" s="1"/>
  <c r="MS6" i="11" s="1"/>
  <c r="MR7" i="11"/>
  <c r="MR8" i="11" s="1"/>
  <c r="MR6" i="11" s="1"/>
  <c r="MQ7" i="11"/>
  <c r="MQ8" i="11" s="1"/>
  <c r="MQ6" i="11" s="1"/>
  <c r="MP7" i="11"/>
  <c r="MP8" i="11" s="1"/>
  <c r="MP6" i="11" s="1"/>
  <c r="MO7" i="11"/>
  <c r="MO8" i="11" s="1"/>
  <c r="MO6" i="11" s="1"/>
  <c r="MN7" i="11"/>
  <c r="MN8" i="11" s="1"/>
  <c r="MN6" i="11" s="1"/>
  <c r="MM7" i="11"/>
  <c r="MM8" i="11" s="1"/>
  <c r="MM6" i="11" s="1"/>
  <c r="ML7" i="11"/>
  <c r="ML8" i="11" s="1"/>
  <c r="ML6" i="11" s="1"/>
  <c r="MK7" i="11"/>
  <c r="MK8" i="11" s="1"/>
  <c r="MK6" i="11" s="1"/>
  <c r="MJ7" i="11"/>
  <c r="MJ8" i="11" s="1"/>
  <c r="MJ6" i="11" s="1"/>
  <c r="MI7" i="11"/>
  <c r="MI8" i="11" s="1"/>
  <c r="MH7" i="11"/>
  <c r="MH8" i="11" s="1"/>
  <c r="MH6" i="11" s="1"/>
  <c r="MG7" i="11"/>
  <c r="MG8" i="11" s="1"/>
  <c r="MG6" i="11" s="1"/>
  <c r="MF7" i="11"/>
  <c r="MF8" i="11" s="1"/>
  <c r="MF6" i="11" s="1"/>
  <c r="ME7" i="11"/>
  <c r="ME8" i="11" s="1"/>
  <c r="ME6" i="11" s="1"/>
  <c r="MD7" i="11"/>
  <c r="MD8" i="11" s="1"/>
  <c r="MD6" i="11" s="1"/>
  <c r="MC7" i="11"/>
  <c r="MC8" i="11" s="1"/>
  <c r="MC6" i="11" s="1"/>
  <c r="MB7" i="11"/>
  <c r="MB8" i="11" s="1"/>
  <c r="MB6" i="11" s="1"/>
  <c r="MA7" i="11"/>
  <c r="MA8" i="11" s="1"/>
  <c r="LZ7" i="11"/>
  <c r="LZ8" i="11" s="1"/>
  <c r="LZ6" i="11" s="1"/>
  <c r="LY7" i="11"/>
  <c r="LY8" i="11" s="1"/>
  <c r="LY6" i="11" s="1"/>
  <c r="LX7" i="11"/>
  <c r="LX8" i="11" s="1"/>
  <c r="LX6" i="11" s="1"/>
  <c r="LW7" i="11"/>
  <c r="LW8" i="11" s="1"/>
  <c r="LW6" i="11" s="1"/>
  <c r="LV7" i="11"/>
  <c r="LV8" i="11" s="1"/>
  <c r="LV6" i="11" s="1"/>
  <c r="LU7" i="11"/>
  <c r="LU8" i="11" s="1"/>
  <c r="LU6" i="11" s="1"/>
  <c r="LT7" i="11"/>
  <c r="LT8" i="11" s="1"/>
  <c r="LT6" i="11" s="1"/>
  <c r="LS7" i="11"/>
  <c r="LS8" i="11" s="1"/>
  <c r="LS6" i="11" s="1"/>
  <c r="LR7" i="11"/>
  <c r="LR8" i="11" s="1"/>
  <c r="LR6" i="11" s="1"/>
  <c r="LQ7" i="11"/>
  <c r="LQ8" i="11" s="1"/>
  <c r="LQ6" i="11" s="1"/>
  <c r="LP7" i="11"/>
  <c r="LP8" i="11" s="1"/>
  <c r="LP6" i="11" s="1"/>
  <c r="LO7" i="11"/>
  <c r="LO8" i="11" s="1"/>
  <c r="LO6" i="11" s="1"/>
  <c r="LN7" i="11"/>
  <c r="LN8" i="11" s="1"/>
  <c r="LN6" i="11" s="1"/>
  <c r="LM7" i="11"/>
  <c r="LM8" i="11" s="1"/>
  <c r="LM6" i="11" s="1"/>
  <c r="LL7" i="11"/>
  <c r="LL8" i="11" s="1"/>
  <c r="LL6" i="11" s="1"/>
  <c r="LK7" i="11"/>
  <c r="LK8" i="11" s="1"/>
  <c r="LK6" i="11" s="1"/>
  <c r="LJ7" i="11"/>
  <c r="LJ8" i="11" s="1"/>
  <c r="LJ6" i="11" s="1"/>
  <c r="LI7" i="11"/>
  <c r="LI8" i="11" s="1"/>
  <c r="LI6" i="11" s="1"/>
  <c r="LH7" i="11"/>
  <c r="LH8" i="11" s="1"/>
  <c r="LH6" i="11" s="1"/>
  <c r="LG7" i="11"/>
  <c r="LG8" i="11" s="1"/>
  <c r="LG6" i="11" s="1"/>
  <c r="LF7" i="11"/>
  <c r="LF8" i="11" s="1"/>
  <c r="LF6" i="11" s="1"/>
  <c r="LE7" i="11"/>
  <c r="LE8" i="11" s="1"/>
  <c r="LE6" i="11" s="1"/>
  <c r="LD7" i="11"/>
  <c r="LD8" i="11" s="1"/>
  <c r="LD6" i="11" s="1"/>
  <c r="LC7" i="11"/>
  <c r="LC8" i="11" s="1"/>
  <c r="LC6" i="11" s="1"/>
  <c r="LB7" i="11"/>
  <c r="LB8" i="11" s="1"/>
  <c r="LB6" i="11" s="1"/>
  <c r="LA7" i="11"/>
  <c r="LA8" i="11" s="1"/>
  <c r="LA6" i="11" s="1"/>
  <c r="KZ7" i="11"/>
  <c r="KZ8" i="11" s="1"/>
  <c r="KZ6" i="11" s="1"/>
  <c r="KY7" i="11"/>
  <c r="KY8" i="11" s="1"/>
  <c r="KY6" i="11" s="1"/>
  <c r="KX7" i="11"/>
  <c r="KX8" i="11" s="1"/>
  <c r="KX6" i="11" s="1"/>
  <c r="KW7" i="11"/>
  <c r="KW8" i="11" s="1"/>
  <c r="KW6" i="11" s="1"/>
  <c r="KV7" i="11"/>
  <c r="KV8" i="11" s="1"/>
  <c r="KV6" i="11" s="1"/>
  <c r="KU7" i="11"/>
  <c r="KU8" i="11" s="1"/>
  <c r="KU6" i="11" s="1"/>
  <c r="KT7" i="11"/>
  <c r="KT8" i="11" s="1"/>
  <c r="KT6" i="11" s="1"/>
  <c r="KS7" i="11"/>
  <c r="KS8" i="11" s="1"/>
  <c r="KS6" i="11" s="1"/>
  <c r="KR7" i="11"/>
  <c r="KR8" i="11" s="1"/>
  <c r="KR6" i="11" s="1"/>
  <c r="KQ7" i="11"/>
  <c r="KQ8" i="11" s="1"/>
  <c r="KQ6" i="11" s="1"/>
  <c r="KP7" i="11"/>
  <c r="KP8" i="11" s="1"/>
  <c r="KP6" i="11" s="1"/>
  <c r="KO7" i="11"/>
  <c r="KO8" i="11" s="1"/>
  <c r="KO6" i="11" s="1"/>
  <c r="KN7" i="11"/>
  <c r="KN8" i="11" s="1"/>
  <c r="KN6" i="11" s="1"/>
  <c r="KM7" i="11"/>
  <c r="KM8" i="11" s="1"/>
  <c r="KM6" i="11" s="1"/>
  <c r="KL7" i="11"/>
  <c r="KL8" i="11" s="1"/>
  <c r="KL6" i="11" s="1"/>
  <c r="KK7" i="11"/>
  <c r="KK8" i="11" s="1"/>
  <c r="KK6" i="11" s="1"/>
  <c r="KJ7" i="11"/>
  <c r="KJ8" i="11" s="1"/>
  <c r="KJ6" i="11" s="1"/>
  <c r="KI7" i="11"/>
  <c r="KI8" i="11" s="1"/>
  <c r="KI6" i="11" s="1"/>
  <c r="KH7" i="11"/>
  <c r="KH8" i="11" s="1"/>
  <c r="KH6" i="11" s="1"/>
  <c r="KG7" i="11"/>
  <c r="KG8" i="11" s="1"/>
  <c r="KG6" i="11" s="1"/>
  <c r="KF7" i="11"/>
  <c r="KF8" i="11" s="1"/>
  <c r="KF6" i="11" s="1"/>
  <c r="KE7" i="11"/>
  <c r="KE8" i="11" s="1"/>
  <c r="KE6" i="11" s="1"/>
  <c r="KD7" i="11"/>
  <c r="KD8" i="11" s="1"/>
  <c r="KD6" i="11" s="1"/>
  <c r="KC7" i="11"/>
  <c r="KC8" i="11" s="1"/>
  <c r="KC6" i="11" s="1"/>
  <c r="KB7" i="11"/>
  <c r="KB8" i="11" s="1"/>
  <c r="KB6" i="11" s="1"/>
  <c r="KA7" i="11"/>
  <c r="KA8" i="11" s="1"/>
  <c r="KA6" i="11" s="1"/>
  <c r="JZ7" i="11"/>
  <c r="JZ8" i="11" s="1"/>
  <c r="JZ6" i="11" s="1"/>
  <c r="JY7" i="11"/>
  <c r="JY8" i="11" s="1"/>
  <c r="JY6" i="11" s="1"/>
  <c r="JX7" i="11"/>
  <c r="JX8" i="11" s="1"/>
  <c r="JX6" i="11" s="1"/>
  <c r="JW7" i="11"/>
  <c r="JW8" i="11" s="1"/>
  <c r="JW6" i="11" s="1"/>
  <c r="JV7" i="11"/>
  <c r="JV8" i="11" s="1"/>
  <c r="JV6" i="11" s="1"/>
  <c r="JU7" i="11"/>
  <c r="JU8" i="11" s="1"/>
  <c r="JU6" i="11" s="1"/>
  <c r="JT7" i="11"/>
  <c r="JT8" i="11" s="1"/>
  <c r="JT6" i="11" s="1"/>
  <c r="JS7" i="11"/>
  <c r="JS8" i="11" s="1"/>
  <c r="JS6" i="11" s="1"/>
  <c r="JR7" i="11"/>
  <c r="JR8" i="11" s="1"/>
  <c r="JR6" i="11" s="1"/>
  <c r="JQ7" i="11"/>
  <c r="JQ8" i="11" s="1"/>
  <c r="JQ6" i="11" s="1"/>
  <c r="JP7" i="11"/>
  <c r="JP8" i="11" s="1"/>
  <c r="JP6" i="11" s="1"/>
  <c r="JO7" i="11"/>
  <c r="JO8" i="11" s="1"/>
  <c r="JO6" i="11" s="1"/>
  <c r="JN7" i="11"/>
  <c r="JN8" i="11" s="1"/>
  <c r="JN6" i="11" s="1"/>
  <c r="JM7" i="11"/>
  <c r="JM8" i="11" s="1"/>
  <c r="JM6" i="11" s="1"/>
  <c r="JL7" i="11"/>
  <c r="JL8" i="11" s="1"/>
  <c r="JL6" i="11" s="1"/>
  <c r="JK7" i="11"/>
  <c r="JK8" i="11" s="1"/>
  <c r="JK6" i="11" s="1"/>
  <c r="JJ7" i="11"/>
  <c r="JJ8" i="11" s="1"/>
  <c r="JJ6" i="11" s="1"/>
  <c r="JI7" i="11"/>
  <c r="JI8" i="11" s="1"/>
  <c r="JI6" i="11" s="1"/>
  <c r="JH7" i="11"/>
  <c r="JH8" i="11" s="1"/>
  <c r="JH6" i="11" s="1"/>
  <c r="JG7" i="11"/>
  <c r="JG8" i="11" s="1"/>
  <c r="JF7" i="11"/>
  <c r="JF8" i="11" s="1"/>
  <c r="JF6" i="11" s="1"/>
  <c r="JE7" i="11"/>
  <c r="JE8" i="11" s="1"/>
  <c r="JE6" i="11" s="1"/>
  <c r="JD7" i="11"/>
  <c r="JD8" i="11" s="1"/>
  <c r="JD6" i="11" s="1"/>
  <c r="JC7" i="11"/>
  <c r="JC8" i="11" s="1"/>
  <c r="JC6" i="11" s="1"/>
  <c r="JB7" i="11"/>
  <c r="JB8" i="11" s="1"/>
  <c r="JB6" i="11" s="1"/>
  <c r="JA7" i="11"/>
  <c r="JA8" i="11" s="1"/>
  <c r="JA6" i="11" s="1"/>
  <c r="IZ7" i="11"/>
  <c r="IZ8" i="11" s="1"/>
  <c r="IZ6" i="11" s="1"/>
  <c r="IY7" i="11"/>
  <c r="IY8" i="11" s="1"/>
  <c r="IY6" i="11" s="1"/>
  <c r="IX7" i="11"/>
  <c r="IX8" i="11" s="1"/>
  <c r="IX6" i="11" s="1"/>
  <c r="IW7" i="11"/>
  <c r="IW8" i="11" s="1"/>
  <c r="IW6" i="11" s="1"/>
  <c r="IV7" i="11"/>
  <c r="IV8" i="11" s="1"/>
  <c r="IV6" i="11" s="1"/>
  <c r="IU7" i="11"/>
  <c r="IU8" i="11" s="1"/>
  <c r="IU6" i="11" s="1"/>
  <c r="IT7" i="11"/>
  <c r="IT8" i="11" s="1"/>
  <c r="IT6" i="11" s="1"/>
  <c r="IS7" i="11"/>
  <c r="IS8" i="11" s="1"/>
  <c r="IS6" i="11" s="1"/>
  <c r="IR7" i="11"/>
  <c r="IR8" i="11" s="1"/>
  <c r="IR6" i="11" s="1"/>
  <c r="IQ7" i="11"/>
  <c r="IQ8" i="11" s="1"/>
  <c r="IQ6" i="11" s="1"/>
  <c r="IP7" i="11"/>
  <c r="IP8" i="11" s="1"/>
  <c r="IP6" i="11" s="1"/>
  <c r="IO7" i="11"/>
  <c r="IO8" i="11" s="1"/>
  <c r="IO6" i="11" s="1"/>
  <c r="IN7" i="11"/>
  <c r="IN8" i="11" s="1"/>
  <c r="IN6" i="11" s="1"/>
  <c r="IM7" i="11"/>
  <c r="IM8" i="11" s="1"/>
  <c r="IM6" i="11" s="1"/>
  <c r="IL7" i="11"/>
  <c r="IL8" i="11" s="1"/>
  <c r="IL6" i="11" s="1"/>
  <c r="IK7" i="11"/>
  <c r="IK8" i="11" s="1"/>
  <c r="IK6" i="11" s="1"/>
  <c r="IJ7" i="11"/>
  <c r="IJ8" i="11" s="1"/>
  <c r="IJ6" i="11" s="1"/>
  <c r="II7" i="11"/>
  <c r="II8" i="11" s="1"/>
  <c r="II6" i="11" s="1"/>
  <c r="IH7" i="11"/>
  <c r="IH8" i="11" s="1"/>
  <c r="IH6" i="11" s="1"/>
  <c r="IG7" i="11"/>
  <c r="IG8" i="11" s="1"/>
  <c r="IG6" i="11" s="1"/>
  <c r="IF7" i="11"/>
  <c r="IF8" i="11" s="1"/>
  <c r="IF6" i="11" s="1"/>
  <c r="IE7" i="11"/>
  <c r="IE8" i="11" s="1"/>
  <c r="IE6" i="11" s="1"/>
  <c r="ID7" i="11"/>
  <c r="ID8" i="11" s="1"/>
  <c r="ID6" i="11" s="1"/>
  <c r="IC7" i="11"/>
  <c r="IC8" i="11" s="1"/>
  <c r="IC6" i="11" s="1"/>
  <c r="IB7" i="11"/>
  <c r="IB8" i="11" s="1"/>
  <c r="IB6" i="11" s="1"/>
  <c r="IA7" i="11"/>
  <c r="IA8" i="11" s="1"/>
  <c r="IA6" i="11" s="1"/>
  <c r="HZ7" i="11"/>
  <c r="HZ8" i="11" s="1"/>
  <c r="HZ6" i="11" s="1"/>
  <c r="HY7" i="11"/>
  <c r="HY8" i="11" s="1"/>
  <c r="HY6" i="11" s="1"/>
  <c r="HX7" i="11"/>
  <c r="HX8" i="11" s="1"/>
  <c r="HX6" i="11" s="1"/>
  <c r="HW7" i="11"/>
  <c r="HW8" i="11" s="1"/>
  <c r="HW6" i="11" s="1"/>
  <c r="HV7" i="11"/>
  <c r="HV8" i="11" s="1"/>
  <c r="HV6" i="11" s="1"/>
  <c r="HU7" i="11"/>
  <c r="HU8" i="11" s="1"/>
  <c r="HU6" i="11" s="1"/>
  <c r="HT7" i="11"/>
  <c r="HT8" i="11" s="1"/>
  <c r="HT6" i="11" s="1"/>
  <c r="HS7" i="11"/>
  <c r="HS8" i="11" s="1"/>
  <c r="HS6" i="11" s="1"/>
  <c r="HR7" i="11"/>
  <c r="HR8" i="11" s="1"/>
  <c r="HR6" i="11" s="1"/>
  <c r="HQ7" i="11"/>
  <c r="HQ8" i="11" s="1"/>
  <c r="HQ6" i="11" s="1"/>
  <c r="HP7" i="11"/>
  <c r="HP8" i="11" s="1"/>
  <c r="HP6" i="11" s="1"/>
  <c r="HO7" i="11"/>
  <c r="HO8" i="11" s="1"/>
  <c r="HO6" i="11" s="1"/>
  <c r="HN7" i="11"/>
  <c r="HN8" i="11" s="1"/>
  <c r="HN6" i="11" s="1"/>
  <c r="HM7" i="11"/>
  <c r="HM8" i="11" s="1"/>
  <c r="HM6" i="11" s="1"/>
  <c r="HL7" i="11"/>
  <c r="HL8" i="11" s="1"/>
  <c r="HL6" i="11" s="1"/>
  <c r="HK7" i="11"/>
  <c r="HK8" i="11" s="1"/>
  <c r="HK6" i="11" s="1"/>
  <c r="HJ7" i="11"/>
  <c r="HJ8" i="11" s="1"/>
  <c r="HJ6" i="11" s="1"/>
  <c r="HI7" i="11"/>
  <c r="HI8" i="11" s="1"/>
  <c r="HI6" i="11" s="1"/>
  <c r="HH7" i="11"/>
  <c r="HH8" i="11" s="1"/>
  <c r="HH6" i="11" s="1"/>
  <c r="HG7" i="11"/>
  <c r="HG8" i="11" s="1"/>
  <c r="HG6" i="11" s="1"/>
  <c r="HF7" i="11"/>
  <c r="HF8" i="11" s="1"/>
  <c r="HF6" i="11" s="1"/>
  <c r="HE7" i="11"/>
  <c r="HE8" i="11" s="1"/>
  <c r="HE6" i="11" s="1"/>
  <c r="HD7" i="11"/>
  <c r="HD8" i="11" s="1"/>
  <c r="HD6" i="11" s="1"/>
  <c r="HC7" i="11"/>
  <c r="HC8" i="11" s="1"/>
  <c r="HC6" i="11" s="1"/>
  <c r="HB7" i="11"/>
  <c r="HB8" i="11" s="1"/>
  <c r="HB6" i="11" s="1"/>
  <c r="HA7" i="11"/>
  <c r="HA8" i="11" s="1"/>
  <c r="HA6" i="11" s="1"/>
  <c r="GZ7" i="11"/>
  <c r="GZ8" i="11" s="1"/>
  <c r="GZ6" i="11" s="1"/>
  <c r="GY7" i="11"/>
  <c r="GY8" i="11" s="1"/>
  <c r="GY6" i="11" s="1"/>
  <c r="GX7" i="11"/>
  <c r="GX8" i="11" s="1"/>
  <c r="GX6" i="11" s="1"/>
  <c r="GW7" i="11"/>
  <c r="GW8" i="11" s="1"/>
  <c r="GW6" i="11" s="1"/>
  <c r="GV7" i="11"/>
  <c r="GV8" i="11" s="1"/>
  <c r="GV6" i="11" s="1"/>
  <c r="GU7" i="11"/>
  <c r="GU8" i="11" s="1"/>
  <c r="GU6" i="11" s="1"/>
  <c r="GT7" i="11"/>
  <c r="GT8" i="11" s="1"/>
  <c r="GT6" i="11" s="1"/>
  <c r="GS7" i="11"/>
  <c r="GS8" i="11" s="1"/>
  <c r="GS6" i="11" s="1"/>
  <c r="GR7" i="11"/>
  <c r="GR8" i="11" s="1"/>
  <c r="GR6" i="11" s="1"/>
  <c r="GQ7" i="11"/>
  <c r="GQ8" i="11" s="1"/>
  <c r="GQ6" i="11" s="1"/>
  <c r="GP7" i="11"/>
  <c r="GP8" i="11" s="1"/>
  <c r="GP6" i="11" s="1"/>
  <c r="GO7" i="11"/>
  <c r="GO8" i="11" s="1"/>
  <c r="GO6" i="11" s="1"/>
  <c r="GN7" i="11"/>
  <c r="GN8" i="11" s="1"/>
  <c r="GN6" i="11" s="1"/>
  <c r="GM7" i="11"/>
  <c r="GM8" i="11" s="1"/>
  <c r="GM6" i="11" s="1"/>
  <c r="GL7" i="11"/>
  <c r="GL8" i="11" s="1"/>
  <c r="GL6" i="11" s="1"/>
  <c r="GK7" i="11"/>
  <c r="GK8" i="11" s="1"/>
  <c r="GK6" i="11" s="1"/>
  <c r="GJ7" i="11"/>
  <c r="GJ8" i="11" s="1"/>
  <c r="GJ6" i="11" s="1"/>
  <c r="GI7" i="11"/>
  <c r="GI8" i="11" s="1"/>
  <c r="GI6" i="11" s="1"/>
  <c r="GH7" i="11"/>
  <c r="GH8" i="11" s="1"/>
  <c r="GH6" i="11" s="1"/>
  <c r="GG7" i="11"/>
  <c r="GG8" i="11" s="1"/>
  <c r="GG6" i="11" s="1"/>
  <c r="GF7" i="11"/>
  <c r="GF8" i="11" s="1"/>
  <c r="GF6" i="11" s="1"/>
  <c r="GE7" i="11"/>
  <c r="GE8" i="11" s="1"/>
  <c r="GE6" i="11" s="1"/>
  <c r="GD7" i="11"/>
  <c r="GD8" i="11" s="1"/>
  <c r="GD6" i="11" s="1"/>
  <c r="GC7" i="11"/>
  <c r="GC8" i="11" s="1"/>
  <c r="GC6" i="11" s="1"/>
  <c r="GB7" i="11"/>
  <c r="GB8" i="11" s="1"/>
  <c r="GB6" i="11" s="1"/>
  <c r="GA7" i="11"/>
  <c r="GA8" i="11" s="1"/>
  <c r="GA6" i="11" s="1"/>
  <c r="FZ7" i="11"/>
  <c r="FZ8" i="11" s="1"/>
  <c r="FZ6" i="11" s="1"/>
  <c r="FY7" i="11"/>
  <c r="FY8" i="11" s="1"/>
  <c r="FY6" i="11" s="1"/>
  <c r="FX7" i="11"/>
  <c r="FX8" i="11" s="1"/>
  <c r="FX6" i="11" s="1"/>
  <c r="FW7" i="11"/>
  <c r="FW8" i="11" s="1"/>
  <c r="FW6" i="11" s="1"/>
  <c r="FV7" i="11"/>
  <c r="FV8" i="11" s="1"/>
  <c r="FV6" i="11" s="1"/>
  <c r="FU7" i="11"/>
  <c r="FU8" i="11" s="1"/>
  <c r="FU6" i="11" s="1"/>
  <c r="FT7" i="11"/>
  <c r="FT8" i="11" s="1"/>
  <c r="FT6" i="11" s="1"/>
  <c r="FS7" i="11"/>
  <c r="FS8" i="11" s="1"/>
  <c r="FS6" i="11" s="1"/>
  <c r="FR7" i="11"/>
  <c r="FR8" i="11" s="1"/>
  <c r="FR6" i="11" s="1"/>
  <c r="FQ7" i="11"/>
  <c r="FQ8" i="11" s="1"/>
  <c r="FQ6" i="11" s="1"/>
  <c r="FP7" i="11"/>
  <c r="FP8" i="11" s="1"/>
  <c r="FP6" i="11" s="1"/>
  <c r="FO7" i="11"/>
  <c r="FO8" i="11" s="1"/>
  <c r="FO6" i="11" s="1"/>
  <c r="FN7" i="11"/>
  <c r="FN8" i="11" s="1"/>
  <c r="FN6" i="11" s="1"/>
  <c r="FM7" i="11"/>
  <c r="FM8" i="11" s="1"/>
  <c r="FM6" i="11" s="1"/>
  <c r="FL7" i="11"/>
  <c r="FL8" i="11" s="1"/>
  <c r="FL6" i="11" s="1"/>
  <c r="FK7" i="11"/>
  <c r="FK8" i="11" s="1"/>
  <c r="FK6" i="11" s="1"/>
  <c r="FJ7" i="11"/>
  <c r="FJ8" i="11" s="1"/>
  <c r="FJ6" i="11" s="1"/>
  <c r="FI7" i="11"/>
  <c r="FI8" i="11" s="1"/>
  <c r="FI6" i="11" s="1"/>
  <c r="FH7" i="11"/>
  <c r="FH8" i="11" s="1"/>
  <c r="FH6" i="11" s="1"/>
  <c r="FG7" i="11"/>
  <c r="FG8" i="11" s="1"/>
  <c r="FG6" i="11" s="1"/>
  <c r="FF7" i="11"/>
  <c r="FF8" i="11" s="1"/>
  <c r="FF6" i="11" s="1"/>
  <c r="FE7" i="11"/>
  <c r="FE8" i="11" s="1"/>
  <c r="FE6" i="11" s="1"/>
  <c r="FD7" i="11"/>
  <c r="FD8" i="11" s="1"/>
  <c r="FD6" i="11" s="1"/>
  <c r="FC7" i="11"/>
  <c r="FC8" i="11" s="1"/>
  <c r="FC6" i="11" s="1"/>
  <c r="FB7" i="11"/>
  <c r="FB8" i="11" s="1"/>
  <c r="FB6" i="11" s="1"/>
  <c r="FA7" i="11"/>
  <c r="FA8" i="11" s="1"/>
  <c r="FA6" i="11" s="1"/>
  <c r="EZ7" i="11"/>
  <c r="EZ8" i="11" s="1"/>
  <c r="EZ6" i="11" s="1"/>
  <c r="EY7" i="11"/>
  <c r="EY8" i="11" s="1"/>
  <c r="EY6" i="11" s="1"/>
  <c r="EX7" i="11"/>
  <c r="EX8" i="11" s="1"/>
  <c r="EX6" i="11" s="1"/>
  <c r="EW7" i="11"/>
  <c r="EW8" i="11" s="1"/>
  <c r="EW6" i="11" s="1"/>
  <c r="EV7" i="11"/>
  <c r="EV8" i="11" s="1"/>
  <c r="EV6" i="11" s="1"/>
  <c r="EU7" i="11"/>
  <c r="EU8" i="11" s="1"/>
  <c r="EU6" i="11" s="1"/>
  <c r="ET7" i="11"/>
  <c r="ET8" i="11" s="1"/>
  <c r="ET6" i="11" s="1"/>
  <c r="ES7" i="11"/>
  <c r="ES8" i="11" s="1"/>
  <c r="ES6" i="11" s="1"/>
  <c r="ER7" i="11"/>
  <c r="ER8" i="11" s="1"/>
  <c r="ER6" i="11" s="1"/>
  <c r="EQ7" i="11"/>
  <c r="EQ8" i="11" s="1"/>
  <c r="EQ6" i="11" s="1"/>
  <c r="EP7" i="11"/>
  <c r="EP8" i="11" s="1"/>
  <c r="EP6" i="11" s="1"/>
  <c r="EO7" i="11"/>
  <c r="EO8" i="11" s="1"/>
  <c r="EO6" i="11" s="1"/>
  <c r="EN7" i="11"/>
  <c r="EN8" i="11" s="1"/>
  <c r="EN6" i="11" s="1"/>
  <c r="EM7" i="11"/>
  <c r="EM8" i="11" s="1"/>
  <c r="EM6" i="11" s="1"/>
  <c r="EL7" i="11"/>
  <c r="EL8" i="11" s="1"/>
  <c r="EL6" i="11" s="1"/>
  <c r="EK7" i="11"/>
  <c r="EK8" i="11" s="1"/>
  <c r="EK6" i="11" s="1"/>
  <c r="EJ7" i="11"/>
  <c r="EJ8" i="11" s="1"/>
  <c r="EJ6" i="11" s="1"/>
  <c r="EI7" i="11"/>
  <c r="EI8" i="11" s="1"/>
  <c r="EI6" i="11" s="1"/>
  <c r="EH7" i="11"/>
  <c r="EH8" i="11" s="1"/>
  <c r="EH6" i="11" s="1"/>
  <c r="EG7" i="11"/>
  <c r="EG8" i="11" s="1"/>
  <c r="EG6" i="11" s="1"/>
  <c r="EF7" i="11"/>
  <c r="EF8" i="11" s="1"/>
  <c r="EF6" i="11" s="1"/>
  <c r="EE7" i="11"/>
  <c r="EE8" i="11" s="1"/>
  <c r="EE6" i="11" s="1"/>
  <c r="ED7" i="11"/>
  <c r="ED8" i="11" s="1"/>
  <c r="ED6" i="11" s="1"/>
  <c r="EC7" i="11"/>
  <c r="EC8" i="11" s="1"/>
  <c r="EC6" i="11" s="1"/>
  <c r="EB7" i="11"/>
  <c r="EB8" i="11" s="1"/>
  <c r="EB6" i="11" s="1"/>
  <c r="EA7" i="11"/>
  <c r="EA8" i="11" s="1"/>
  <c r="EA6" i="11" s="1"/>
  <c r="DZ7" i="11"/>
  <c r="DZ8" i="11" s="1"/>
  <c r="DZ6" i="11" s="1"/>
  <c r="DY7" i="11"/>
  <c r="DY8" i="11" s="1"/>
  <c r="DY6" i="11" s="1"/>
  <c r="DX7" i="11"/>
  <c r="DX8" i="11" s="1"/>
  <c r="DX6" i="11" s="1"/>
  <c r="DW7" i="11"/>
  <c r="DW8" i="11" s="1"/>
  <c r="DW6" i="11" s="1"/>
  <c r="DV7" i="11"/>
  <c r="DV8" i="11" s="1"/>
  <c r="DV6" i="11" s="1"/>
  <c r="DU7" i="11"/>
  <c r="DU8" i="11" s="1"/>
  <c r="DU6" i="11" s="1"/>
  <c r="DT7" i="11"/>
  <c r="DT8" i="11" s="1"/>
  <c r="DT6" i="11" s="1"/>
  <c r="DS7" i="11"/>
  <c r="DS8" i="11" s="1"/>
  <c r="DS6" i="11" s="1"/>
  <c r="DR7" i="11"/>
  <c r="DR8" i="11" s="1"/>
  <c r="DR6" i="11" s="1"/>
  <c r="DQ7" i="11"/>
  <c r="DQ8" i="11" s="1"/>
  <c r="DQ6" i="11" s="1"/>
  <c r="DP7" i="11"/>
  <c r="DP8" i="11" s="1"/>
  <c r="DP6" i="11" s="1"/>
  <c r="DO7" i="11"/>
  <c r="DO8" i="11" s="1"/>
  <c r="DO6" i="11" s="1"/>
  <c r="DN7" i="11"/>
  <c r="DN8" i="11" s="1"/>
  <c r="DN6" i="11" s="1"/>
  <c r="DM7" i="11"/>
  <c r="DM8" i="11" s="1"/>
  <c r="DM6" i="11" s="1"/>
  <c r="DL7" i="11"/>
  <c r="DL8" i="11" s="1"/>
  <c r="DL6" i="11" s="1"/>
  <c r="DK7" i="11"/>
  <c r="DK8" i="11" s="1"/>
  <c r="DK6" i="11" s="1"/>
  <c r="DJ7" i="11"/>
  <c r="DJ8" i="11" s="1"/>
  <c r="DJ6" i="11" s="1"/>
  <c r="DI7" i="11"/>
  <c r="DI8" i="11" s="1"/>
  <c r="DI6" i="11" s="1"/>
  <c r="DH7" i="11"/>
  <c r="DH8" i="11" s="1"/>
  <c r="DH6" i="11" s="1"/>
  <c r="DG7" i="11"/>
  <c r="DG8" i="11" s="1"/>
  <c r="DG6" i="11" s="1"/>
  <c r="DF7" i="11"/>
  <c r="DF8" i="11" s="1"/>
  <c r="DF6" i="11" s="1"/>
  <c r="DE7" i="11"/>
  <c r="DE8" i="11" s="1"/>
  <c r="DE6" i="11" s="1"/>
  <c r="DD7" i="11"/>
  <c r="DD8" i="11" s="1"/>
  <c r="DD6" i="11" s="1"/>
  <c r="DC7" i="11"/>
  <c r="DC8" i="11" s="1"/>
  <c r="DC6" i="11" s="1"/>
  <c r="DB7" i="11"/>
  <c r="DB8" i="11" s="1"/>
  <c r="DB6" i="11" s="1"/>
  <c r="DA7" i="11"/>
  <c r="DA8" i="11" s="1"/>
  <c r="DA6" i="11" s="1"/>
  <c r="CZ7" i="11"/>
  <c r="CZ8" i="11" s="1"/>
  <c r="CZ6" i="11" s="1"/>
  <c r="CY7" i="11"/>
  <c r="CY8" i="11" s="1"/>
  <c r="CY6" i="11" s="1"/>
  <c r="CX7" i="11"/>
  <c r="CX8" i="11" s="1"/>
  <c r="CX6" i="11" s="1"/>
  <c r="CW7" i="11"/>
  <c r="CW8" i="11" s="1"/>
  <c r="CW6" i="11" s="1"/>
  <c r="CV7" i="11"/>
  <c r="CV8" i="11" s="1"/>
  <c r="CV6" i="11" s="1"/>
  <c r="CU7" i="11"/>
  <c r="CU8" i="11" s="1"/>
  <c r="CU6" i="11" s="1"/>
  <c r="CT7" i="11"/>
  <c r="CT8" i="11" s="1"/>
  <c r="CT6" i="11" s="1"/>
  <c r="CS7" i="11"/>
  <c r="CS8" i="11" s="1"/>
  <c r="CS6" i="11" s="1"/>
  <c r="CR7" i="11"/>
  <c r="CR8" i="11" s="1"/>
  <c r="CR6" i="11" s="1"/>
  <c r="CQ7" i="11"/>
  <c r="CQ8" i="11" s="1"/>
  <c r="CQ6" i="11" s="1"/>
  <c r="CP7" i="11"/>
  <c r="CP8" i="11" s="1"/>
  <c r="CP6" i="11" s="1"/>
  <c r="CO7" i="11"/>
  <c r="CO8" i="11" s="1"/>
  <c r="CO6" i="11" s="1"/>
  <c r="CN7" i="11"/>
  <c r="CN8" i="11" s="1"/>
  <c r="CN6" i="11" s="1"/>
  <c r="CM7" i="11"/>
  <c r="CM8" i="11" s="1"/>
  <c r="CM6" i="11" s="1"/>
  <c r="CL7" i="11"/>
  <c r="CL8" i="11" s="1"/>
  <c r="CL6" i="11" s="1"/>
  <c r="CK7" i="11"/>
  <c r="CK8" i="11" s="1"/>
  <c r="CK6" i="11" s="1"/>
  <c r="CJ7" i="11"/>
  <c r="CJ8" i="11" s="1"/>
  <c r="CJ6" i="11" s="1"/>
  <c r="CI7" i="11"/>
  <c r="CI8" i="11" s="1"/>
  <c r="CI6" i="11" s="1"/>
  <c r="CH7" i="11"/>
  <c r="CH8" i="11" s="1"/>
  <c r="CH6" i="11" s="1"/>
  <c r="CG7" i="11"/>
  <c r="CG8" i="11" s="1"/>
  <c r="CG6" i="11" s="1"/>
  <c r="CF7" i="11"/>
  <c r="CF8" i="11" s="1"/>
  <c r="CF6" i="11" s="1"/>
  <c r="CE7" i="11"/>
  <c r="CE8" i="11" s="1"/>
  <c r="CE6" i="11" s="1"/>
  <c r="CD7" i="11"/>
  <c r="CD8" i="11" s="1"/>
  <c r="CD6" i="11" s="1"/>
  <c r="CC7" i="11"/>
  <c r="CC8" i="11" s="1"/>
  <c r="CC6" i="11" s="1"/>
  <c r="CB7" i="11"/>
  <c r="CB8" i="11" s="1"/>
  <c r="CB6" i="11" s="1"/>
  <c r="CA7" i="11"/>
  <c r="CA8" i="11" s="1"/>
  <c r="CA6" i="11" s="1"/>
  <c r="BZ7" i="11"/>
  <c r="BZ8" i="11" s="1"/>
  <c r="BZ6" i="11" s="1"/>
  <c r="BY7" i="11"/>
  <c r="BY8" i="11" s="1"/>
  <c r="BY6" i="11" s="1"/>
  <c r="BX7" i="11"/>
  <c r="BX8" i="11" s="1"/>
  <c r="BX6" i="11" s="1"/>
  <c r="BW7" i="11"/>
  <c r="BW8" i="11" s="1"/>
  <c r="BW6" i="11" s="1"/>
  <c r="BV7" i="11"/>
  <c r="BV8" i="11" s="1"/>
  <c r="BV6" i="11" s="1"/>
  <c r="BU7" i="11"/>
  <c r="BU8" i="11" s="1"/>
  <c r="BU6" i="11" s="1"/>
  <c r="BT7" i="11"/>
  <c r="BT8" i="11" s="1"/>
  <c r="BT6" i="11" s="1"/>
  <c r="BS7" i="11"/>
  <c r="BS8" i="11" s="1"/>
  <c r="BS6" i="11" s="1"/>
  <c r="BR7" i="11"/>
  <c r="BR8" i="11" s="1"/>
  <c r="BR6" i="11" s="1"/>
  <c r="BQ7" i="11"/>
  <c r="BQ8" i="11" s="1"/>
  <c r="BQ6" i="11" s="1"/>
  <c r="BP7" i="11"/>
  <c r="BP8" i="11" s="1"/>
  <c r="BP6" i="11" s="1"/>
  <c r="BO7" i="11"/>
  <c r="BO8" i="11" s="1"/>
  <c r="BO6" i="11" s="1"/>
  <c r="BN7" i="11"/>
  <c r="BN8" i="11" s="1"/>
  <c r="BN6" i="11" s="1"/>
  <c r="BM7" i="11"/>
  <c r="BM8" i="11" s="1"/>
  <c r="BM6" i="11" s="1"/>
  <c r="BL7" i="11"/>
  <c r="BL8" i="11" s="1"/>
  <c r="BL6" i="11" s="1"/>
  <c r="BK7" i="11"/>
  <c r="BK8" i="11" s="1"/>
  <c r="BK6" i="11" s="1"/>
  <c r="BJ7" i="11"/>
  <c r="BJ8" i="11" s="1"/>
  <c r="BJ6" i="11" s="1"/>
  <c r="BI7" i="11"/>
  <c r="BI8" i="11" s="1"/>
  <c r="BI6" i="11" s="1"/>
  <c r="BH7" i="11"/>
  <c r="BH8" i="11" s="1"/>
  <c r="BH6" i="11" s="1"/>
  <c r="BG7" i="11"/>
  <c r="BG8" i="11" s="1"/>
  <c r="BG6" i="11" s="1"/>
  <c r="BF7" i="11"/>
  <c r="BF8" i="11" s="1"/>
  <c r="BF6" i="11" s="1"/>
  <c r="BE7" i="11"/>
  <c r="BE8" i="11" s="1"/>
  <c r="BE6" i="11" s="1"/>
  <c r="BD7" i="11"/>
  <c r="BD8" i="11" s="1"/>
  <c r="BD6" i="11" s="1"/>
  <c r="BC7" i="11"/>
  <c r="BC8" i="11" s="1"/>
  <c r="BC6" i="11" s="1"/>
  <c r="BB7" i="11"/>
  <c r="BB8" i="11" s="1"/>
  <c r="BB6" i="11" s="1"/>
  <c r="BA7" i="11"/>
  <c r="BA8" i="11" s="1"/>
  <c r="BA6" i="11" s="1"/>
  <c r="AZ7" i="11"/>
  <c r="AZ8" i="11" s="1"/>
  <c r="AZ6" i="11" s="1"/>
  <c r="AY7" i="11"/>
  <c r="AY8" i="11" s="1"/>
  <c r="AY6" i="11" s="1"/>
  <c r="AX7" i="11"/>
  <c r="AX8" i="11" s="1"/>
  <c r="AX6" i="11" s="1"/>
  <c r="AW7" i="11"/>
  <c r="AW8" i="11" s="1"/>
  <c r="AW6" i="11" s="1"/>
  <c r="AV7" i="11"/>
  <c r="AV8" i="11" s="1"/>
  <c r="AV6" i="11" s="1"/>
  <c r="AU7" i="11"/>
  <c r="AU8" i="11" s="1"/>
  <c r="AU6" i="11" s="1"/>
  <c r="AT7" i="11"/>
  <c r="AT8" i="11" s="1"/>
  <c r="AT6" i="11" s="1"/>
  <c r="AS7" i="11"/>
  <c r="AS8" i="11" s="1"/>
  <c r="AS6" i="11" s="1"/>
  <c r="AR7" i="11"/>
  <c r="AR8" i="11" s="1"/>
  <c r="AR6" i="11" s="1"/>
  <c r="AQ7" i="11"/>
  <c r="AQ8" i="11" s="1"/>
  <c r="AQ6" i="11" s="1"/>
  <c r="AP7" i="11"/>
  <c r="AP8" i="11" s="1"/>
  <c r="AP6" i="11" s="1"/>
  <c r="AO7" i="11"/>
  <c r="AO8" i="11" s="1"/>
  <c r="AO6" i="11" s="1"/>
  <c r="AN7" i="11"/>
  <c r="AN8" i="11" s="1"/>
  <c r="AN6" i="11" s="1"/>
  <c r="AM7" i="11"/>
  <c r="AM8" i="11" s="1"/>
  <c r="AM6" i="11" s="1"/>
  <c r="AL7" i="11"/>
  <c r="AL8" i="11" s="1"/>
  <c r="AL6" i="11" s="1"/>
  <c r="AK7" i="11"/>
  <c r="AK8" i="11" s="1"/>
  <c r="AK6" i="11" s="1"/>
  <c r="AJ7" i="11"/>
  <c r="AJ8" i="11" s="1"/>
  <c r="AJ6" i="11" s="1"/>
  <c r="AI7" i="11"/>
  <c r="AI8" i="11" s="1"/>
  <c r="AI6" i="11" s="1"/>
  <c r="AH7" i="11"/>
  <c r="AH8" i="11" s="1"/>
  <c r="AH6" i="11" s="1"/>
  <c r="AG7" i="11"/>
  <c r="AF7" i="11"/>
  <c r="AF9" i="11" s="1"/>
  <c r="AE7" i="11"/>
  <c r="AE9" i="11" s="1"/>
  <c r="AD7" i="11"/>
  <c r="AC7" i="11"/>
  <c r="AB7" i="11"/>
  <c r="AB9" i="11" s="1"/>
  <c r="AA7" i="11"/>
  <c r="AA9" i="11" s="1"/>
  <c r="Z7" i="11"/>
  <c r="Y7" i="11"/>
  <c r="X7" i="11"/>
  <c r="X9" i="11" s="1"/>
  <c r="W7" i="11"/>
  <c r="W9" i="11" s="1"/>
  <c r="V7" i="11"/>
  <c r="U7" i="11"/>
  <c r="T7" i="11"/>
  <c r="T9" i="11" s="1"/>
  <c r="S7" i="11"/>
  <c r="S9" i="11" s="1"/>
  <c r="R7" i="11"/>
  <c r="Q7" i="11"/>
  <c r="P7" i="11"/>
  <c r="P9" i="11" s="1"/>
  <c r="O7" i="11"/>
  <c r="O9" i="11" s="1"/>
  <c r="N7" i="11"/>
  <c r="M7" i="11"/>
  <c r="L7" i="11"/>
  <c r="L9" i="11" s="1"/>
  <c r="K7" i="11"/>
  <c r="K9" i="11" s="1"/>
  <c r="J7" i="11"/>
  <c r="I7" i="11"/>
  <c r="H7" i="11"/>
  <c r="H9" i="11" s="1"/>
  <c r="G7" i="11"/>
  <c r="F7" i="11"/>
  <c r="E7" i="11"/>
  <c r="D7" i="11"/>
  <c r="D9" i="11" s="1"/>
  <c r="C7" i="11"/>
  <c r="NG6" i="11"/>
  <c r="MI6" i="11"/>
  <c r="MA6" i="11"/>
  <c r="JG6" i="11"/>
  <c r="NJ5" i="11"/>
  <c r="NI5" i="11"/>
  <c r="NH5" i="11"/>
  <c r="NG5" i="11"/>
  <c r="NF5" i="11"/>
  <c r="NE5" i="11"/>
  <c r="ND5" i="11"/>
  <c r="NC5" i="11"/>
  <c r="NB5" i="11"/>
  <c r="NA5" i="11"/>
  <c r="MZ5" i="11"/>
  <c r="MY5" i="11"/>
  <c r="MX5" i="11"/>
  <c r="MW5" i="11"/>
  <c r="MV5" i="11"/>
  <c r="MU5" i="11"/>
  <c r="MT5" i="11"/>
  <c r="MS5" i="11"/>
  <c r="MR5" i="11"/>
  <c r="MQ5" i="11"/>
  <c r="MP5" i="11"/>
  <c r="MO5" i="11"/>
  <c r="MN5" i="11"/>
  <c r="MM5" i="11"/>
  <c r="ML5" i="11"/>
  <c r="MK5" i="11"/>
  <c r="MJ5" i="11"/>
  <c r="MI5" i="11"/>
  <c r="MH5" i="11"/>
  <c r="MG5" i="11"/>
  <c r="MF5" i="11"/>
  <c r="ME5" i="11"/>
  <c r="MD5" i="11"/>
  <c r="MC5" i="11"/>
  <c r="MB5" i="11"/>
  <c r="MA5" i="11"/>
  <c r="LZ5" i="11"/>
  <c r="LY5" i="11"/>
  <c r="LX5" i="11"/>
  <c r="LW5" i="11"/>
  <c r="LV5" i="11"/>
  <c r="LU5" i="11"/>
  <c r="LT5" i="11"/>
  <c r="LS5" i="11"/>
  <c r="LR5" i="11"/>
  <c r="LQ5" i="11"/>
  <c r="LP5" i="11"/>
  <c r="LO5" i="11"/>
  <c r="LN5" i="11"/>
  <c r="LM5" i="11"/>
  <c r="LL5" i="11"/>
  <c r="LK5" i="11"/>
  <c r="LJ5" i="11"/>
  <c r="LI5" i="11"/>
  <c r="LH5" i="11"/>
  <c r="LG5" i="11"/>
  <c r="LF5" i="11"/>
  <c r="LE5" i="11"/>
  <c r="LD5" i="11"/>
  <c r="LC5" i="11"/>
  <c r="LB5" i="11"/>
  <c r="LA5" i="11"/>
  <c r="KZ5" i="11"/>
  <c r="KY5" i="11"/>
  <c r="KX5" i="11"/>
  <c r="KW5" i="11"/>
  <c r="KV5" i="11"/>
  <c r="KU5" i="11"/>
  <c r="KT5" i="11"/>
  <c r="KS5" i="11"/>
  <c r="KR5" i="11"/>
  <c r="KQ5" i="11"/>
  <c r="KP5" i="11"/>
  <c r="KO5" i="11"/>
  <c r="KN5" i="11"/>
  <c r="KM5" i="11"/>
  <c r="KL5" i="11"/>
  <c r="KK5" i="11"/>
  <c r="KJ5" i="11"/>
  <c r="KI5" i="11"/>
  <c r="KH5" i="11"/>
  <c r="KG5" i="11"/>
  <c r="KF5" i="11"/>
  <c r="KE5" i="11"/>
  <c r="KD5" i="11"/>
  <c r="KC5" i="11"/>
  <c r="KB5" i="11"/>
  <c r="KA5" i="11"/>
  <c r="JZ5" i="11"/>
  <c r="JY5" i="11"/>
  <c r="JX5" i="11"/>
  <c r="JW5" i="11"/>
  <c r="JV5" i="11"/>
  <c r="JU5" i="11"/>
  <c r="JT5" i="11"/>
  <c r="JS5" i="11"/>
  <c r="JR5" i="11"/>
  <c r="JQ5" i="11"/>
  <c r="JP5" i="11"/>
  <c r="JO5" i="11"/>
  <c r="JN5" i="11"/>
  <c r="JM5" i="11"/>
  <c r="JL5" i="11"/>
  <c r="JK5" i="11"/>
  <c r="JJ5" i="11"/>
  <c r="JI5" i="11"/>
  <c r="JH5" i="11"/>
  <c r="JG5" i="11"/>
  <c r="JF5" i="11"/>
  <c r="JE5" i="11"/>
  <c r="JD5" i="11"/>
  <c r="JC5" i="11"/>
  <c r="JB5" i="11"/>
  <c r="JA5" i="11"/>
  <c r="IZ5" i="11"/>
  <c r="IY5" i="11"/>
  <c r="IX5" i="11"/>
  <c r="IW5" i="11"/>
  <c r="IV5" i="11"/>
  <c r="IU5" i="11"/>
  <c r="IT5" i="11"/>
  <c r="IS5" i="11"/>
  <c r="IR5" i="11"/>
  <c r="IQ5" i="11"/>
  <c r="IP5" i="11"/>
  <c r="IO5" i="11"/>
  <c r="IN5" i="11"/>
  <c r="IM5" i="11"/>
  <c r="IL5" i="11"/>
  <c r="IK5" i="11"/>
  <c r="IJ5" i="11"/>
  <c r="II5" i="11"/>
  <c r="IH5" i="11"/>
  <c r="IG5" i="11"/>
  <c r="IF5" i="11"/>
  <c r="IE5" i="11"/>
  <c r="ID5" i="11"/>
  <c r="IC5" i="11"/>
  <c r="IB5" i="11"/>
  <c r="IA5" i="11"/>
  <c r="HZ5" i="11"/>
  <c r="HY5" i="11"/>
  <c r="HX5" i="11"/>
  <c r="HW5" i="11"/>
  <c r="HV5" i="11"/>
  <c r="HU5" i="11"/>
  <c r="HT5" i="11"/>
  <c r="HS5" i="11"/>
  <c r="HR5" i="11"/>
  <c r="HQ5" i="11"/>
  <c r="HP5" i="11"/>
  <c r="HO5" i="11"/>
  <c r="HN5" i="11"/>
  <c r="HM5" i="11"/>
  <c r="HL5" i="11"/>
  <c r="HK5" i="11"/>
  <c r="HJ5" i="11"/>
  <c r="HI5" i="11"/>
  <c r="HH5" i="11"/>
  <c r="HG5" i="11"/>
  <c r="HF5" i="11"/>
  <c r="HE5" i="11"/>
  <c r="HD5" i="11"/>
  <c r="HC5" i="11"/>
  <c r="HB5" i="11"/>
  <c r="HA5" i="11"/>
  <c r="GZ5" i="11"/>
  <c r="GY5" i="11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D5" i="11"/>
  <c r="C5" i="11"/>
  <c r="C7" i="8"/>
  <c r="AC5" i="8"/>
  <c r="NL13" i="11" l="1" a="1"/>
  <c r="NL13" i="11" s="1"/>
  <c r="NL21" i="11" a="1"/>
  <c r="NL21" i="11" s="1"/>
  <c r="NL29" i="11" a="1"/>
  <c r="NL29" i="11" s="1"/>
  <c r="NL37" i="11" a="1"/>
  <c r="NL37" i="11" s="1"/>
  <c r="NL45" i="11" a="1"/>
  <c r="NL45" i="11" s="1"/>
  <c r="NL53" i="11" a="1"/>
  <c r="NL53" i="11" s="1"/>
  <c r="NL61" i="11" a="1"/>
  <c r="NL61" i="11" s="1"/>
  <c r="NL69" i="11" a="1"/>
  <c r="NL69" i="11" s="1"/>
  <c r="NL34" i="11" a="1"/>
  <c r="NL34" i="11" s="1"/>
  <c r="NL14" i="11" a="1"/>
  <c r="NL14" i="11" s="1"/>
  <c r="NL22" i="11" a="1"/>
  <c r="NL22" i="11" s="1"/>
  <c r="NL30" i="11" a="1"/>
  <c r="NL30" i="11" s="1"/>
  <c r="NL38" i="11" a="1"/>
  <c r="NL38" i="11" s="1"/>
  <c r="NL46" i="11" a="1"/>
  <c r="NL46" i="11" s="1"/>
  <c r="NL54" i="11" a="1"/>
  <c r="NL54" i="11" s="1"/>
  <c r="NL62" i="11" a="1"/>
  <c r="NL62" i="11" s="1"/>
  <c r="NL70" i="11" a="1"/>
  <c r="NL70" i="11" s="1"/>
  <c r="NL66" i="11" a="1"/>
  <c r="NL66" i="11" s="1"/>
  <c r="NL15" i="11" a="1"/>
  <c r="NL15" i="11" s="1"/>
  <c r="NL23" i="11" a="1"/>
  <c r="NL23" i="11" s="1"/>
  <c r="NL31" i="11" a="1"/>
  <c r="NL31" i="11" s="1"/>
  <c r="NL39" i="11" a="1"/>
  <c r="NL39" i="11" s="1"/>
  <c r="NL47" i="11" a="1"/>
  <c r="NL47" i="11" s="1"/>
  <c r="NL55" i="11" a="1"/>
  <c r="NL55" i="11" s="1"/>
  <c r="NL63" i="11" a="1"/>
  <c r="NL63" i="11" s="1"/>
  <c r="NL71" i="11" a="1"/>
  <c r="NL71" i="11" s="1"/>
  <c r="NL26" i="11" a="1"/>
  <c r="NL26" i="11" s="1"/>
  <c r="NL16" i="11" a="1"/>
  <c r="NL16" i="11" s="1"/>
  <c r="NL24" i="11" a="1"/>
  <c r="NL24" i="11" s="1"/>
  <c r="NL32" i="11" a="1"/>
  <c r="NL32" i="11" s="1"/>
  <c r="NL40" i="11" a="1"/>
  <c r="NL40" i="11" s="1"/>
  <c r="NL48" i="11" a="1"/>
  <c r="NL48" i="11" s="1"/>
  <c r="NL56" i="11" a="1"/>
  <c r="NL56" i="11" s="1"/>
  <c r="NL64" i="11" a="1"/>
  <c r="NL64" i="11" s="1"/>
  <c r="NL58" i="11" a="1"/>
  <c r="NL58" i="11" s="1"/>
  <c r="NL17" i="11" a="1"/>
  <c r="NL17" i="11" s="1"/>
  <c r="NL25" i="11" a="1"/>
  <c r="NL25" i="11" s="1"/>
  <c r="NL33" i="11" a="1"/>
  <c r="NL33" i="11" s="1"/>
  <c r="NL41" i="11" a="1"/>
  <c r="NL41" i="11" s="1"/>
  <c r="NL49" i="11" a="1"/>
  <c r="NL49" i="11" s="1"/>
  <c r="NL57" i="11" a="1"/>
  <c r="NL57" i="11" s="1"/>
  <c r="NL65" i="11" a="1"/>
  <c r="NL65" i="11" s="1"/>
  <c r="NL42" i="11" a="1"/>
  <c r="NL42" i="11" s="1"/>
  <c r="NL18" i="11" a="1"/>
  <c r="NL18" i="11" s="1"/>
  <c r="NL19" i="11" a="1"/>
  <c r="NL19" i="11" s="1"/>
  <c r="NL27" i="11" a="1"/>
  <c r="NL27" i="11" s="1"/>
  <c r="NL35" i="11" a="1"/>
  <c r="NL35" i="11" s="1"/>
  <c r="NL43" i="11" a="1"/>
  <c r="NL43" i="11" s="1"/>
  <c r="NL51" i="11" a="1"/>
  <c r="NL51" i="11" s="1"/>
  <c r="NL59" i="11" a="1"/>
  <c r="NL59" i="11" s="1"/>
  <c r="NL67" i="11" a="1"/>
  <c r="NL67" i="11" s="1"/>
  <c r="NL20" i="11" a="1"/>
  <c r="NL20" i="11" s="1"/>
  <c r="NL28" i="11" a="1"/>
  <c r="NL28" i="11" s="1"/>
  <c r="NL36" i="11" a="1"/>
  <c r="NL36" i="11" s="1"/>
  <c r="NL44" i="11" a="1"/>
  <c r="NL44" i="11" s="1"/>
  <c r="NL52" i="11" a="1"/>
  <c r="NL52" i="11" s="1"/>
  <c r="NL60" i="11" a="1"/>
  <c r="NL60" i="11" s="1"/>
  <c r="NL68" i="11" a="1"/>
  <c r="NL68" i="11" s="1"/>
  <c r="NL50" i="11" a="1"/>
  <c r="NL50" i="11" s="1"/>
  <c r="NL16" i="12" a="1"/>
  <c r="NL16" i="12" s="1"/>
  <c r="NL17" i="12" a="1"/>
  <c r="NL17" i="12" s="1"/>
  <c r="NL18" i="12" a="1"/>
  <c r="NL18" i="12" s="1"/>
  <c r="NL19" i="12" a="1"/>
  <c r="NL19" i="12" s="1"/>
  <c r="NK16" i="12" a="1"/>
  <c r="NK16" i="12" s="1"/>
  <c r="NK20" i="12" a="1"/>
  <c r="NK20" i="12" s="1"/>
  <c r="NK17" i="12" a="1"/>
  <c r="NK17" i="12" s="1"/>
  <c r="NK18" i="12" a="1"/>
  <c r="NK18" i="12" s="1"/>
  <c r="NK19" i="12" a="1"/>
  <c r="NK19" i="12" s="1"/>
  <c r="NK26" i="12" a="1"/>
  <c r="NK26" i="12" s="1"/>
  <c r="NK34" i="12" a="1"/>
  <c r="NK34" i="12" s="1"/>
  <c r="NK22" i="12" a="1"/>
  <c r="NK22" i="12" s="1"/>
  <c r="NK27" i="12" a="1"/>
  <c r="NK27" i="12" s="1"/>
  <c r="NK35" i="12" a="1"/>
  <c r="NK35" i="12" s="1"/>
  <c r="NK12" i="12" a="1"/>
  <c r="NK12" i="12" s="1"/>
  <c r="NK30" i="12" a="1"/>
  <c r="NK30" i="12" s="1"/>
  <c r="NK15" i="12" a="1"/>
  <c r="NK15" i="12" s="1"/>
  <c r="NK28" i="12" a="1"/>
  <c r="NK28" i="12" s="1"/>
  <c r="NK36" i="12" a="1"/>
  <c r="NK36" i="12" s="1"/>
  <c r="NK11" i="12" a="1"/>
  <c r="NK11" i="12" s="1"/>
  <c r="NK21" i="12" a="1"/>
  <c r="NK21" i="12" s="1"/>
  <c r="NK29" i="12" a="1"/>
  <c r="NK29" i="12" s="1"/>
  <c r="NK37" i="12" a="1"/>
  <c r="NK37" i="12" s="1"/>
  <c r="NK25" i="12" a="1"/>
  <c r="NK25" i="12" s="1"/>
  <c r="NK24" i="12" a="1"/>
  <c r="NK24" i="12" s="1"/>
  <c r="NK32" i="12" a="1"/>
  <c r="NK32" i="12" s="1"/>
  <c r="NK38" i="12" a="1"/>
  <c r="NK38" i="12" s="1"/>
  <c r="NK14" i="12" a="1"/>
  <c r="NK14" i="12" s="1"/>
  <c r="NK40" i="12" a="1"/>
  <c r="NK40" i="12" s="1"/>
  <c r="NK33" i="12" a="1"/>
  <c r="NK33" i="12" s="1"/>
  <c r="NK13" i="12" a="1"/>
  <c r="NK13" i="12" s="1"/>
  <c r="NK23" i="12" a="1"/>
  <c r="NK23" i="12" s="1"/>
  <c r="NK31" i="12" a="1"/>
  <c r="NK31" i="12" s="1"/>
  <c r="NK39" i="12" a="1"/>
  <c r="NK39" i="12" s="1"/>
  <c r="NK41" i="12" a="1"/>
  <c r="NK41" i="12" s="1"/>
  <c r="NL11" i="12" a="1"/>
  <c r="NL11" i="12" s="1"/>
  <c r="NL21" i="12" a="1"/>
  <c r="NL21" i="12" s="1"/>
  <c r="NL29" i="12" a="1"/>
  <c r="NL29" i="12" s="1"/>
  <c r="NL37" i="12" a="1"/>
  <c r="NL37" i="12" s="1"/>
  <c r="NL12" i="12" a="1"/>
  <c r="NL12" i="12" s="1"/>
  <c r="NL22" i="12" a="1"/>
  <c r="NL22" i="12" s="1"/>
  <c r="NL30" i="12" a="1"/>
  <c r="NL30" i="12" s="1"/>
  <c r="NL38" i="12" a="1"/>
  <c r="NL38" i="12" s="1"/>
  <c r="NL13" i="12" a="1"/>
  <c r="NL13" i="12" s="1"/>
  <c r="NL23" i="12" a="1"/>
  <c r="NL23" i="12" s="1"/>
  <c r="NL31" i="12" a="1"/>
  <c r="NL31" i="12" s="1"/>
  <c r="NL39" i="12" a="1"/>
  <c r="NL39" i="12" s="1"/>
  <c r="NL41" i="12" a="1"/>
  <c r="NL41" i="12" s="1"/>
  <c r="NL33" i="12" a="1"/>
  <c r="NL33" i="12" s="1"/>
  <c r="NL35" i="12" a="1"/>
  <c r="NL35" i="12" s="1"/>
  <c r="NL14" i="12" a="1"/>
  <c r="NL14" i="12" s="1"/>
  <c r="NL24" i="12" a="1"/>
  <c r="NL24" i="12" s="1"/>
  <c r="NL32" i="12" a="1"/>
  <c r="NL32" i="12" s="1"/>
  <c r="NL40" i="12" a="1"/>
  <c r="NL40" i="12" s="1"/>
  <c r="NL15" i="12" a="1"/>
  <c r="NL15" i="12" s="1"/>
  <c r="NL25" i="12" a="1"/>
  <c r="NL25" i="12" s="1"/>
  <c r="NL26" i="12" a="1"/>
  <c r="NL26" i="12" s="1"/>
  <c r="NL34" i="12" a="1"/>
  <c r="NL34" i="12" s="1"/>
  <c r="NL27" i="12" a="1"/>
  <c r="NL27" i="12" s="1"/>
  <c r="NL20" i="12" a="1"/>
  <c r="NL20" i="12" s="1"/>
  <c r="NL28" i="12" a="1"/>
  <c r="NL28" i="12" s="1"/>
  <c r="NL36" i="12" a="1"/>
  <c r="NL36" i="12" s="1"/>
  <c r="NL11" i="11" a="1"/>
  <c r="NL11" i="11" s="1"/>
  <c r="NL12" i="11" a="1"/>
  <c r="NL12" i="11" s="1"/>
  <c r="NL10" i="12" a="1"/>
  <c r="NL10" i="12" s="1"/>
  <c r="NL42" i="12" a="1"/>
  <c r="NL42" i="12" s="1"/>
  <c r="NL43" i="12" a="1"/>
  <c r="NL43" i="12" s="1"/>
  <c r="NL44" i="12" a="1"/>
  <c r="NL44" i="12" s="1"/>
  <c r="NL45" i="12" a="1"/>
  <c r="NL45" i="12" s="1"/>
  <c r="NL10" i="11" a="1"/>
  <c r="NL10" i="11" s="1"/>
  <c r="NQ71" i="11"/>
  <c r="NR70" i="11"/>
  <c r="NS69" i="11"/>
  <c r="NM69" i="11"/>
  <c r="NN68" i="11"/>
  <c r="NO67" i="11"/>
  <c r="NP66" i="11"/>
  <c r="NQ65" i="11"/>
  <c r="NR64" i="11"/>
  <c r="NS63" i="11"/>
  <c r="NM63" i="11"/>
  <c r="NN62" i="11"/>
  <c r="NO61" i="11"/>
  <c r="NP60" i="11"/>
  <c r="NQ59" i="11"/>
  <c r="NR58" i="11"/>
  <c r="NS57" i="11"/>
  <c r="NM57" i="11"/>
  <c r="NN56" i="11"/>
  <c r="NO55" i="11"/>
  <c r="NP54" i="11"/>
  <c r="NQ53" i="11"/>
  <c r="NR52" i="11"/>
  <c r="NS51" i="11"/>
  <c r="NM51" i="11"/>
  <c r="NN50" i="11"/>
  <c r="NO49" i="11"/>
  <c r="NP48" i="11"/>
  <c r="NQ47" i="11"/>
  <c r="NR46" i="11"/>
  <c r="NS45" i="11"/>
  <c r="NM45" i="11"/>
  <c r="NN40" i="11"/>
  <c r="NO39" i="11"/>
  <c r="NP38" i="11"/>
  <c r="NQ37" i="11"/>
  <c r="NR34" i="11"/>
  <c r="NS33" i="11"/>
  <c r="NM33" i="11"/>
  <c r="NN27" i="11"/>
  <c r="NO26" i="11"/>
  <c r="NP25" i="11"/>
  <c r="NQ24" i="11"/>
  <c r="NM19" i="11"/>
  <c r="NP14" i="11"/>
  <c r="NS11" i="11"/>
  <c r="NQ12" i="11"/>
  <c r="NM10" i="11"/>
  <c r="NO59" i="11"/>
  <c r="NR56" i="11"/>
  <c r="NN54" i="11"/>
  <c r="NQ51" i="11"/>
  <c r="NM49" i="11"/>
  <c r="NP46" i="11"/>
  <c r="NS39" i="11"/>
  <c r="NO37" i="11"/>
  <c r="NQ33" i="11"/>
  <c r="NM26" i="11"/>
  <c r="NP23" i="11"/>
  <c r="NP71" i="11"/>
  <c r="NQ70" i="11"/>
  <c r="NR69" i="11"/>
  <c r="NS68" i="11"/>
  <c r="NM68" i="11"/>
  <c r="NN67" i="11"/>
  <c r="NO66" i="11"/>
  <c r="NP65" i="11"/>
  <c r="NQ64" i="11"/>
  <c r="NR63" i="11"/>
  <c r="NS62" i="11"/>
  <c r="NM62" i="11"/>
  <c r="NN61" i="11"/>
  <c r="NO60" i="11"/>
  <c r="NP59" i="11"/>
  <c r="NQ58" i="11"/>
  <c r="NR57" i="11"/>
  <c r="NS56" i="11"/>
  <c r="NM56" i="11"/>
  <c r="NN55" i="11"/>
  <c r="NO54" i="11"/>
  <c r="NP53" i="11"/>
  <c r="NQ52" i="11"/>
  <c r="NR51" i="11"/>
  <c r="NS50" i="11"/>
  <c r="NM50" i="11"/>
  <c r="NN49" i="11"/>
  <c r="NO48" i="11"/>
  <c r="NP47" i="11"/>
  <c r="NQ46" i="11"/>
  <c r="NR45" i="11"/>
  <c r="NS40" i="11"/>
  <c r="NM40" i="11"/>
  <c r="NN39" i="11"/>
  <c r="NO38" i="11"/>
  <c r="NP37" i="11"/>
  <c r="NQ34" i="11"/>
  <c r="NR33" i="11"/>
  <c r="NS27" i="11"/>
  <c r="NM27" i="11"/>
  <c r="NN26" i="11"/>
  <c r="NO25" i="11"/>
  <c r="NP24" i="11"/>
  <c r="NQ23" i="11"/>
  <c r="NR19" i="11"/>
  <c r="NS18" i="11"/>
  <c r="NM18" i="11"/>
  <c r="NN15" i="11"/>
  <c r="NO14" i="11"/>
  <c r="NP13" i="11"/>
  <c r="NO71" i="11"/>
  <c r="NP70" i="11"/>
  <c r="NQ69" i="11"/>
  <c r="NR68" i="11"/>
  <c r="NS67" i="11"/>
  <c r="NM67" i="11"/>
  <c r="NN66" i="11"/>
  <c r="NO65" i="11"/>
  <c r="NP64" i="11"/>
  <c r="NQ63" i="11"/>
  <c r="NR62" i="11"/>
  <c r="NS61" i="11"/>
  <c r="NS71" i="11"/>
  <c r="NM71" i="11"/>
  <c r="NN70" i="11"/>
  <c r="NO69" i="11"/>
  <c r="NP68" i="11"/>
  <c r="NQ67" i="11"/>
  <c r="NR66" i="11"/>
  <c r="NS65" i="11"/>
  <c r="NM65" i="11"/>
  <c r="NN64" i="11"/>
  <c r="NO63" i="11"/>
  <c r="NP62" i="11"/>
  <c r="NQ61" i="11"/>
  <c r="NR60" i="11"/>
  <c r="NS59" i="11"/>
  <c r="NM59" i="11"/>
  <c r="NN58" i="11"/>
  <c r="NO57" i="11"/>
  <c r="NP56" i="11"/>
  <c r="NQ55" i="11"/>
  <c r="NR54" i="11"/>
  <c r="NS53" i="11"/>
  <c r="NM53" i="11"/>
  <c r="NN52" i="11"/>
  <c r="NO51" i="11"/>
  <c r="NP50" i="11"/>
  <c r="NQ49" i="11"/>
  <c r="NR48" i="11"/>
  <c r="NS47" i="11"/>
  <c r="NM47" i="11"/>
  <c r="NN46" i="11"/>
  <c r="NO45" i="11"/>
  <c r="NP40" i="11"/>
  <c r="NQ39" i="11"/>
  <c r="NR38" i="11"/>
  <c r="NS37" i="11"/>
  <c r="NM37" i="11"/>
  <c r="NN34" i="11"/>
  <c r="NO33" i="11"/>
  <c r="NP27" i="11"/>
  <c r="NQ26" i="11"/>
  <c r="NR25" i="11"/>
  <c r="NS24" i="11"/>
  <c r="NM24" i="11"/>
  <c r="NN23" i="11"/>
  <c r="NO19" i="11"/>
  <c r="NP18" i="11"/>
  <c r="NQ15" i="11"/>
  <c r="NR14" i="11"/>
  <c r="NS13" i="11"/>
  <c r="NM13" i="11"/>
  <c r="NN12" i="11"/>
  <c r="NO11" i="11"/>
  <c r="NP10" i="11"/>
  <c r="NP39" i="11"/>
  <c r="NR37" i="11"/>
  <c r="NM34" i="11"/>
  <c r="NO27" i="11"/>
  <c r="NQ25" i="11"/>
  <c r="NS23" i="11"/>
  <c r="NN19" i="11"/>
  <c r="NP15" i="11"/>
  <c r="NR13" i="11"/>
  <c r="NM12" i="11"/>
  <c r="NN11" i="11"/>
  <c r="NO10" i="11"/>
  <c r="NS19" i="11"/>
  <c r="NO15" i="11"/>
  <c r="NR12" i="11"/>
  <c r="NN10" i="11"/>
  <c r="NS10" i="11"/>
  <c r="NN60" i="11"/>
  <c r="NQ57" i="11"/>
  <c r="NM55" i="11"/>
  <c r="NP52" i="11"/>
  <c r="NS49" i="11"/>
  <c r="NO47" i="11"/>
  <c r="NR40" i="11"/>
  <c r="NN38" i="11"/>
  <c r="NR27" i="11"/>
  <c r="NN25" i="11"/>
  <c r="NR71" i="11"/>
  <c r="NS70" i="11"/>
  <c r="NM70" i="11"/>
  <c r="NN69" i="11"/>
  <c r="NO68" i="11"/>
  <c r="NP67" i="11"/>
  <c r="NQ66" i="11"/>
  <c r="NR65" i="11"/>
  <c r="NS64" i="11"/>
  <c r="NM64" i="11"/>
  <c r="NN63" i="11"/>
  <c r="NO62" i="11"/>
  <c r="NP61" i="11"/>
  <c r="NQ60" i="11"/>
  <c r="NR59" i="11"/>
  <c r="NS58" i="11"/>
  <c r="NM58" i="11"/>
  <c r="NN57" i="11"/>
  <c r="NO56" i="11"/>
  <c r="NP55" i="11"/>
  <c r="NQ54" i="11"/>
  <c r="NR53" i="11"/>
  <c r="NS52" i="11"/>
  <c r="NM52" i="11"/>
  <c r="NN51" i="11"/>
  <c r="NO50" i="11"/>
  <c r="NP49" i="11"/>
  <c r="NQ48" i="11"/>
  <c r="NR47" i="11"/>
  <c r="NS46" i="11"/>
  <c r="NM46" i="11"/>
  <c r="NN45" i="11"/>
  <c r="NO40" i="11"/>
  <c r="NQ38" i="11"/>
  <c r="NS34" i="11"/>
  <c r="NN33" i="11"/>
  <c r="NP26" i="11"/>
  <c r="NR24" i="11"/>
  <c r="NM23" i="11"/>
  <c r="NO18" i="11"/>
  <c r="NQ14" i="11"/>
  <c r="NS12" i="11"/>
  <c r="NR23" i="11"/>
  <c r="NN18" i="11"/>
  <c r="NQ13" i="11"/>
  <c r="NM11" i="11"/>
  <c r="NR11" i="11"/>
  <c r="NM61" i="11"/>
  <c r="NP58" i="11"/>
  <c r="NS55" i="11"/>
  <c r="NO53" i="11"/>
  <c r="NR50" i="11"/>
  <c r="NN48" i="11"/>
  <c r="NQ45" i="11"/>
  <c r="NM39" i="11"/>
  <c r="NP34" i="11"/>
  <c r="NS26" i="11"/>
  <c r="NO24" i="11"/>
  <c r="NO70" i="11"/>
  <c r="NN65" i="11"/>
  <c r="NM60" i="11"/>
  <c r="NS54" i="11"/>
  <c r="NR49" i="11"/>
  <c r="NQ40" i="11"/>
  <c r="NP33" i="11"/>
  <c r="NO23" i="11"/>
  <c r="NR15" i="11"/>
  <c r="NN13" i="11"/>
  <c r="NQ10" i="11"/>
  <c r="NQ50" i="11"/>
  <c r="NO13" i="11"/>
  <c r="NP69" i="11"/>
  <c r="NO64" i="11"/>
  <c r="NN59" i="11"/>
  <c r="NM54" i="11"/>
  <c r="NS48" i="11"/>
  <c r="NR39" i="11"/>
  <c r="NQ27" i="11"/>
  <c r="NQ19" i="11"/>
  <c r="NM15" i="11"/>
  <c r="NP12" i="11"/>
  <c r="NN24" i="11"/>
  <c r="NQ68" i="11"/>
  <c r="NP63" i="11"/>
  <c r="NO58" i="11"/>
  <c r="NN53" i="11"/>
  <c r="NM48" i="11"/>
  <c r="NS38" i="11"/>
  <c r="NR26" i="11"/>
  <c r="NP19" i="11"/>
  <c r="NS14" i="11"/>
  <c r="NO12" i="11"/>
  <c r="NN71" i="11"/>
  <c r="NR55" i="11"/>
  <c r="NS15" i="11"/>
  <c r="NR67" i="11"/>
  <c r="NQ62" i="11"/>
  <c r="NP57" i="11"/>
  <c r="NO52" i="11"/>
  <c r="NN47" i="11"/>
  <c r="NM38" i="11"/>
  <c r="NS25" i="11"/>
  <c r="NR18" i="11"/>
  <c r="NN14" i="11"/>
  <c r="NQ11" i="11"/>
  <c r="NS60" i="11"/>
  <c r="NO34" i="11"/>
  <c r="NR10" i="11"/>
  <c r="NS66" i="11"/>
  <c r="NR61" i="11"/>
  <c r="NQ56" i="11"/>
  <c r="NP51" i="11"/>
  <c r="NO46" i="11"/>
  <c r="NN37" i="11"/>
  <c r="NM25" i="11"/>
  <c r="NQ18" i="11"/>
  <c r="NM14" i="11"/>
  <c r="NP11" i="11"/>
  <c r="NM66" i="11"/>
  <c r="NP45" i="11"/>
  <c r="NP45" i="12"/>
  <c r="NQ44" i="12"/>
  <c r="NR43" i="12"/>
  <c r="NS42" i="12"/>
  <c r="NM42" i="12"/>
  <c r="NN41" i="12"/>
  <c r="NO38" i="12"/>
  <c r="NP32" i="12"/>
  <c r="NQ31" i="12"/>
  <c r="NR30" i="12"/>
  <c r="NS29" i="12"/>
  <c r="NM29" i="12"/>
  <c r="NN28" i="12"/>
  <c r="NO27" i="12"/>
  <c r="NP26" i="12"/>
  <c r="NQ25" i="12"/>
  <c r="NR24" i="12"/>
  <c r="NS23" i="12"/>
  <c r="NM23" i="12"/>
  <c r="NN19" i="12"/>
  <c r="NO18" i="12"/>
  <c r="NP15" i="12"/>
  <c r="NQ14" i="12"/>
  <c r="NR12" i="12"/>
  <c r="NS11" i="12"/>
  <c r="NM11" i="12"/>
  <c r="NN10" i="12"/>
  <c r="NR11" i="12"/>
  <c r="NM10" i="12"/>
  <c r="NS45" i="12"/>
  <c r="NN44" i="12"/>
  <c r="NP42" i="12"/>
  <c r="NS32" i="12"/>
  <c r="NO30" i="12"/>
  <c r="NS26" i="12"/>
  <c r="NP23" i="12"/>
  <c r="NS15" i="12"/>
  <c r="NP11" i="12"/>
  <c r="NQ45" i="12"/>
  <c r="NO45" i="12"/>
  <c r="NP44" i="12"/>
  <c r="NQ43" i="12"/>
  <c r="NR42" i="12"/>
  <c r="NS41" i="12"/>
  <c r="NM41" i="12"/>
  <c r="NN38" i="12"/>
  <c r="NO32" i="12"/>
  <c r="NP31" i="12"/>
  <c r="NQ30" i="12"/>
  <c r="NR29" i="12"/>
  <c r="NS28" i="12"/>
  <c r="NM28" i="12"/>
  <c r="NN27" i="12"/>
  <c r="NO26" i="12"/>
  <c r="NP25" i="12"/>
  <c r="NQ24" i="12"/>
  <c r="NR23" i="12"/>
  <c r="NS19" i="12"/>
  <c r="NM19" i="12"/>
  <c r="NN18" i="12"/>
  <c r="NO15" i="12"/>
  <c r="NP14" i="12"/>
  <c r="NQ12" i="12"/>
  <c r="NS10" i="12"/>
  <c r="NM45" i="12"/>
  <c r="NR38" i="12"/>
  <c r="NN31" i="12"/>
  <c r="NR27" i="12"/>
  <c r="NO24" i="12"/>
  <c r="NO12" i="12"/>
  <c r="NN45" i="12"/>
  <c r="NO44" i="12"/>
  <c r="NP43" i="12"/>
  <c r="NQ42" i="12"/>
  <c r="NR41" i="12"/>
  <c r="NS38" i="12"/>
  <c r="NM38" i="12"/>
  <c r="NN32" i="12"/>
  <c r="NO31" i="12"/>
  <c r="NP30" i="12"/>
  <c r="NQ29" i="12"/>
  <c r="NR28" i="12"/>
  <c r="NS27" i="12"/>
  <c r="NM27" i="12"/>
  <c r="NN26" i="12"/>
  <c r="NO25" i="12"/>
  <c r="NP24" i="12"/>
  <c r="NQ23" i="12"/>
  <c r="NR19" i="12"/>
  <c r="NS18" i="12"/>
  <c r="NM18" i="12"/>
  <c r="NN15" i="12"/>
  <c r="NO14" i="12"/>
  <c r="NP12" i="12"/>
  <c r="NQ11" i="12"/>
  <c r="NR10" i="12"/>
  <c r="NO43" i="12"/>
  <c r="NQ41" i="12"/>
  <c r="NM32" i="12"/>
  <c r="NQ28" i="12"/>
  <c r="NM26" i="12"/>
  <c r="NR18" i="12"/>
  <c r="NM15" i="12"/>
  <c r="NS43" i="12"/>
  <c r="NP29" i="12"/>
  <c r="NN25" i="12"/>
  <c r="NQ19" i="12"/>
  <c r="NN14" i="12"/>
  <c r="NQ10" i="12"/>
  <c r="NR44" i="12"/>
  <c r="NR45" i="12"/>
  <c r="NS44" i="12"/>
  <c r="NM44" i="12"/>
  <c r="NN43" i="12"/>
  <c r="NO42" i="12"/>
  <c r="NP41" i="12"/>
  <c r="NQ38" i="12"/>
  <c r="NR32" i="12"/>
  <c r="NS31" i="12"/>
  <c r="NM31" i="12"/>
  <c r="NN30" i="12"/>
  <c r="NO29" i="12"/>
  <c r="NP28" i="12"/>
  <c r="NQ27" i="12"/>
  <c r="NR26" i="12"/>
  <c r="NS25" i="12"/>
  <c r="NM25" i="12"/>
  <c r="NN24" i="12"/>
  <c r="NO23" i="12"/>
  <c r="NP19" i="12"/>
  <c r="NQ18" i="12"/>
  <c r="NR15" i="12"/>
  <c r="NS14" i="12"/>
  <c r="NM14" i="12"/>
  <c r="NN12" i="12"/>
  <c r="NO11" i="12"/>
  <c r="NP10" i="12"/>
  <c r="NM43" i="12"/>
  <c r="NN42" i="12"/>
  <c r="NM30" i="12"/>
  <c r="NS24" i="12"/>
  <c r="NR14" i="12"/>
  <c r="NO41" i="12"/>
  <c r="NN29" i="12"/>
  <c r="NM24" i="12"/>
  <c r="NS12" i="12"/>
  <c r="NR25" i="12"/>
  <c r="NP38" i="12"/>
  <c r="NO28" i="12"/>
  <c r="NN23" i="12"/>
  <c r="NM12" i="12"/>
  <c r="NQ15" i="12"/>
  <c r="NQ32" i="12"/>
  <c r="NP27" i="12"/>
  <c r="NO19" i="12"/>
  <c r="NN11" i="12"/>
  <c r="NR31" i="12"/>
  <c r="NQ26" i="12"/>
  <c r="NP18" i="12"/>
  <c r="NO10" i="12"/>
  <c r="NS30" i="12"/>
  <c r="C8" i="12"/>
  <c r="C6" i="12" s="1"/>
  <c r="K8" i="12"/>
  <c r="K6" i="12" s="1"/>
  <c r="S8" i="12"/>
  <c r="S6" i="12" s="1"/>
  <c r="AA8" i="12"/>
  <c r="AA6" i="12" s="1"/>
  <c r="AE9" i="12"/>
  <c r="M9" i="12"/>
  <c r="L9" i="12"/>
  <c r="L8" i="12"/>
  <c r="L6" i="12" s="1"/>
  <c r="AB9" i="12"/>
  <c r="AB8" i="12"/>
  <c r="AB6" i="12" s="1"/>
  <c r="AC8" i="12"/>
  <c r="AC6" i="12" s="1"/>
  <c r="P9" i="12"/>
  <c r="AF8" i="12"/>
  <c r="AF6" i="12" s="1"/>
  <c r="R9" i="12"/>
  <c r="F9" i="12"/>
  <c r="F8" i="12"/>
  <c r="F6" i="12" s="1"/>
  <c r="N9" i="12"/>
  <c r="N8" i="12"/>
  <c r="N6" i="12" s="1"/>
  <c r="AD8" i="12"/>
  <c r="AD6" i="12" s="1"/>
  <c r="AD9" i="12"/>
  <c r="Q8" i="12"/>
  <c r="Q6" i="12" s="1"/>
  <c r="AG8" i="12"/>
  <c r="AG6" i="12" s="1"/>
  <c r="T9" i="12"/>
  <c r="O9" i="12"/>
  <c r="O8" i="12"/>
  <c r="O6" i="12" s="1"/>
  <c r="W8" i="12"/>
  <c r="W6" i="12" s="1"/>
  <c r="W9" i="12"/>
  <c r="D9" i="12"/>
  <c r="V9" i="12"/>
  <c r="E8" i="12"/>
  <c r="E6" i="12" s="1"/>
  <c r="U8" i="12"/>
  <c r="U6" i="12" s="1"/>
  <c r="G9" i="12"/>
  <c r="Z9" i="12"/>
  <c r="H8" i="12"/>
  <c r="H6" i="12" s="1"/>
  <c r="X8" i="12"/>
  <c r="X6" i="12" s="1"/>
  <c r="J9" i="12"/>
  <c r="J8" i="12"/>
  <c r="J6" i="12" s="1"/>
  <c r="I8" i="12"/>
  <c r="I6" i="12" s="1"/>
  <c r="Y8" i="12"/>
  <c r="Y6" i="12" s="1"/>
  <c r="F9" i="11"/>
  <c r="F8" i="11"/>
  <c r="F6" i="11" s="1"/>
  <c r="J9" i="11"/>
  <c r="J8" i="11"/>
  <c r="J6" i="11" s="1"/>
  <c r="N9" i="11"/>
  <c r="N8" i="11"/>
  <c r="N6" i="11" s="1"/>
  <c r="R8" i="11"/>
  <c r="R6" i="11" s="1"/>
  <c r="R9" i="11"/>
  <c r="V9" i="11"/>
  <c r="V8" i="11"/>
  <c r="V6" i="11" s="1"/>
  <c r="Z9" i="11"/>
  <c r="Z8" i="11"/>
  <c r="Z6" i="11" s="1"/>
  <c r="AD9" i="11"/>
  <c r="AD8" i="11"/>
  <c r="AD6" i="11" s="1"/>
  <c r="E9" i="11"/>
  <c r="E8" i="11"/>
  <c r="E6" i="11" s="1"/>
  <c r="I9" i="11"/>
  <c r="I8" i="11"/>
  <c r="I6" i="11" s="1"/>
  <c r="M9" i="11"/>
  <c r="M8" i="11"/>
  <c r="M6" i="11" s="1"/>
  <c r="Q9" i="11"/>
  <c r="Q8" i="11"/>
  <c r="Q6" i="11" s="1"/>
  <c r="U9" i="11"/>
  <c r="U8" i="11"/>
  <c r="U6" i="11" s="1"/>
  <c r="Y9" i="11"/>
  <c r="Y8" i="11"/>
  <c r="Y6" i="11" s="1"/>
  <c r="AC9" i="11"/>
  <c r="AC8" i="11"/>
  <c r="AC6" i="11" s="1"/>
  <c r="AG9" i="11"/>
  <c r="AG8" i="11"/>
  <c r="AG6" i="11" s="1"/>
  <c r="H8" i="11"/>
  <c r="H6" i="11" s="1"/>
  <c r="P8" i="11"/>
  <c r="P6" i="11" s="1"/>
  <c r="X8" i="11"/>
  <c r="X6" i="11" s="1"/>
  <c r="AF8" i="11"/>
  <c r="AF6" i="11" s="1"/>
  <c r="C9" i="11"/>
  <c r="C8" i="11"/>
  <c r="C6" i="11" s="1"/>
  <c r="G9" i="11"/>
  <c r="G8" i="11"/>
  <c r="G6" i="11" s="1"/>
  <c r="D8" i="11"/>
  <c r="D6" i="11" s="1"/>
  <c r="L8" i="11"/>
  <c r="L6" i="11" s="1"/>
  <c r="T8" i="11"/>
  <c r="T6" i="11" s="1"/>
  <c r="AB8" i="11"/>
  <c r="AB6" i="11" s="1"/>
  <c r="K8" i="11"/>
  <c r="K6" i="11" s="1"/>
  <c r="O8" i="11"/>
  <c r="O6" i="11" s="1"/>
  <c r="S8" i="11"/>
  <c r="S6" i="11" s="1"/>
  <c r="W8" i="11"/>
  <c r="W6" i="11" s="1"/>
  <c r="AA8" i="11"/>
  <c r="AA6" i="11" s="1"/>
  <c r="AE8" i="11"/>
  <c r="AE6" i="11" s="1"/>
  <c r="NJ7" i="8"/>
  <c r="NI7" i="8"/>
  <c r="NH7" i="8"/>
  <c r="NG7" i="8"/>
  <c r="NF7" i="8"/>
  <c r="NE7" i="8"/>
  <c r="ND7" i="8"/>
  <c r="NC7" i="8"/>
  <c r="NB7" i="8"/>
  <c r="NA7" i="8"/>
  <c r="MZ7" i="8"/>
  <c r="MY7" i="8"/>
  <c r="MX7" i="8"/>
  <c r="MW7" i="8"/>
  <c r="MV7" i="8"/>
  <c r="MU7" i="8"/>
  <c r="MT7" i="8"/>
  <c r="MS7" i="8"/>
  <c r="MR7" i="8"/>
  <c r="MQ7" i="8"/>
  <c r="MP7" i="8"/>
  <c r="MO7" i="8"/>
  <c r="MN7" i="8"/>
  <c r="MM7" i="8"/>
  <c r="ML7" i="8"/>
  <c r="MK7" i="8"/>
  <c r="MJ7" i="8"/>
  <c r="MI7" i="8"/>
  <c r="MH7" i="8"/>
  <c r="MG7" i="8"/>
  <c r="MF7" i="8"/>
  <c r="ME7" i="8"/>
  <c r="MD7" i="8"/>
  <c r="MC7" i="8"/>
  <c r="MB7" i="8"/>
  <c r="MA7" i="8"/>
  <c r="LZ7" i="8"/>
  <c r="LY7" i="8"/>
  <c r="LX7" i="8"/>
  <c r="LW7" i="8"/>
  <c r="LV7" i="8"/>
  <c r="LU7" i="8"/>
  <c r="LT7" i="8"/>
  <c r="LS7" i="8"/>
  <c r="LR7" i="8"/>
  <c r="LQ7" i="8"/>
  <c r="LP7" i="8"/>
  <c r="LO7" i="8"/>
  <c r="LN7" i="8"/>
  <c r="LM7" i="8"/>
  <c r="LL7" i="8"/>
  <c r="LK7" i="8"/>
  <c r="LJ7" i="8"/>
  <c r="LI7" i="8"/>
  <c r="LH7" i="8"/>
  <c r="LG7" i="8"/>
  <c r="LF7" i="8"/>
  <c r="LE7" i="8"/>
  <c r="LD7" i="8"/>
  <c r="LC7" i="8"/>
  <c r="LB7" i="8"/>
  <c r="LA7" i="8"/>
  <c r="KZ7" i="8"/>
  <c r="KY7" i="8"/>
  <c r="KX7" i="8"/>
  <c r="KW7" i="8"/>
  <c r="KV7" i="8"/>
  <c r="KU7" i="8"/>
  <c r="KT7" i="8"/>
  <c r="KS7" i="8"/>
  <c r="KR7" i="8"/>
  <c r="KQ7" i="8"/>
  <c r="KP7" i="8"/>
  <c r="KO7" i="8"/>
  <c r="KN7" i="8"/>
  <c r="KM7" i="8"/>
  <c r="KL7" i="8"/>
  <c r="KK7" i="8"/>
  <c r="KJ7" i="8"/>
  <c r="KI7" i="8"/>
  <c r="KH7" i="8"/>
  <c r="KG7" i="8"/>
  <c r="KF7" i="8"/>
  <c r="KE7" i="8"/>
  <c r="KD7" i="8"/>
  <c r="KC7" i="8"/>
  <c r="KB7" i="8"/>
  <c r="KA7" i="8"/>
  <c r="JZ7" i="8"/>
  <c r="JY7" i="8"/>
  <c r="JX7" i="8"/>
  <c r="JW7" i="8"/>
  <c r="JV7" i="8"/>
  <c r="JU7" i="8"/>
  <c r="JT7" i="8"/>
  <c r="JS7" i="8"/>
  <c r="JR7" i="8"/>
  <c r="JQ7" i="8"/>
  <c r="JP7" i="8"/>
  <c r="JO7" i="8"/>
  <c r="JN7" i="8"/>
  <c r="JM7" i="8"/>
  <c r="JL7" i="8"/>
  <c r="JK7" i="8"/>
  <c r="JJ7" i="8"/>
  <c r="JI7" i="8"/>
  <c r="JH7" i="8"/>
  <c r="JG7" i="8"/>
  <c r="JF7" i="8"/>
  <c r="JE7" i="8"/>
  <c r="JD7" i="8"/>
  <c r="JC7" i="8"/>
  <c r="JB7" i="8"/>
  <c r="JA7" i="8"/>
  <c r="IZ7" i="8"/>
  <c r="IY7" i="8"/>
  <c r="IX7" i="8"/>
  <c r="IW7" i="8"/>
  <c r="IV7" i="8"/>
  <c r="IU7" i="8"/>
  <c r="IT7" i="8"/>
  <c r="IS7" i="8"/>
  <c r="IR7" i="8"/>
  <c r="IQ7" i="8"/>
  <c r="IP7" i="8"/>
  <c r="IO7" i="8"/>
  <c r="IN7" i="8"/>
  <c r="IM7" i="8"/>
  <c r="IL7" i="8"/>
  <c r="IK7" i="8"/>
  <c r="IJ7" i="8"/>
  <c r="II7" i="8"/>
  <c r="IH7" i="8"/>
  <c r="IG7" i="8"/>
  <c r="IF7" i="8"/>
  <c r="IE7" i="8"/>
  <c r="ID7" i="8"/>
  <c r="IC7" i="8"/>
  <c r="IB7" i="8"/>
  <c r="IA7" i="8"/>
  <c r="HZ7" i="8"/>
  <c r="HY7" i="8"/>
  <c r="HX7" i="8"/>
  <c r="HW7" i="8"/>
  <c r="HV7" i="8"/>
  <c r="HU7" i="8"/>
  <c r="HT7" i="8"/>
  <c r="HS7" i="8"/>
  <c r="HR7" i="8"/>
  <c r="HQ7" i="8"/>
  <c r="HP7" i="8"/>
  <c r="HO7" i="8"/>
  <c r="HN7" i="8"/>
  <c r="HM7" i="8"/>
  <c r="HL7" i="8"/>
  <c r="HK7" i="8"/>
  <c r="HJ7" i="8"/>
  <c r="HI7" i="8"/>
  <c r="HH7" i="8"/>
  <c r="HG7" i="8"/>
  <c r="HF7" i="8"/>
  <c r="HE7" i="8"/>
  <c r="HD7" i="8"/>
  <c r="HC7" i="8"/>
  <c r="HB7" i="8"/>
  <c r="HA7" i="8"/>
  <c r="GZ7" i="8"/>
  <c r="GY7" i="8"/>
  <c r="GX7" i="8"/>
  <c r="GW7" i="8"/>
  <c r="GV7" i="8"/>
  <c r="GU7" i="8"/>
  <c r="GT7" i="8"/>
  <c r="GS7" i="8"/>
  <c r="GR7" i="8"/>
  <c r="GQ7" i="8"/>
  <c r="GP7" i="8"/>
  <c r="GO7" i="8"/>
  <c r="GN7" i="8"/>
  <c r="GM7" i="8"/>
  <c r="GL7" i="8"/>
  <c r="GK7" i="8"/>
  <c r="GJ7" i="8"/>
  <c r="GI7" i="8"/>
  <c r="GH7" i="8"/>
  <c r="GG7" i="8"/>
  <c r="GF7" i="8"/>
  <c r="GE7" i="8"/>
  <c r="GD7" i="8"/>
  <c r="GC7" i="8"/>
  <c r="GB7" i="8"/>
  <c r="GA7" i="8"/>
  <c r="FZ7" i="8"/>
  <c r="FY7" i="8"/>
  <c r="FX7" i="8"/>
  <c r="FW7" i="8"/>
  <c r="FV7" i="8"/>
  <c r="FU7" i="8"/>
  <c r="FT7" i="8"/>
  <c r="FS7" i="8"/>
  <c r="FR7" i="8"/>
  <c r="FQ7" i="8"/>
  <c r="FP7" i="8"/>
  <c r="FO7" i="8"/>
  <c r="FN7" i="8"/>
  <c r="FM7" i="8"/>
  <c r="FL7" i="8"/>
  <c r="FK7" i="8"/>
  <c r="FJ7" i="8"/>
  <c r="FI7" i="8"/>
  <c r="FH7" i="8"/>
  <c r="FG7" i="8"/>
  <c r="FF7" i="8"/>
  <c r="FE7" i="8"/>
  <c r="FD7" i="8"/>
  <c r="FC7" i="8"/>
  <c r="FB7" i="8"/>
  <c r="FA7" i="8"/>
  <c r="EZ7" i="8"/>
  <c r="EY7" i="8"/>
  <c r="EX7" i="8"/>
  <c r="EW7" i="8"/>
  <c r="EV7" i="8"/>
  <c r="EU7" i="8"/>
  <c r="ET7" i="8"/>
  <c r="ES7" i="8"/>
  <c r="ER7" i="8"/>
  <c r="EQ7" i="8"/>
  <c r="EP7" i="8"/>
  <c r="EO7" i="8"/>
  <c r="EN7" i="8"/>
  <c r="EM7" i="8"/>
  <c r="EL7" i="8"/>
  <c r="EK7" i="8"/>
  <c r="EJ7" i="8"/>
  <c r="EI7" i="8"/>
  <c r="EH7" i="8"/>
  <c r="EG7" i="8"/>
  <c r="EF7" i="8"/>
  <c r="EE7" i="8"/>
  <c r="ED7" i="8"/>
  <c r="EC7" i="8"/>
  <c r="EB7" i="8"/>
  <c r="EA7" i="8"/>
  <c r="DZ7" i="8"/>
  <c r="DY7" i="8"/>
  <c r="DX7" i="8"/>
  <c r="DW7" i="8"/>
  <c r="DV7" i="8"/>
  <c r="DU7" i="8"/>
  <c r="DT7" i="8"/>
  <c r="DS7" i="8"/>
  <c r="DR7" i="8"/>
  <c r="DQ7" i="8"/>
  <c r="DP7" i="8"/>
  <c r="DO7" i="8"/>
  <c r="DN7" i="8"/>
  <c r="DM7" i="8"/>
  <c r="DL7" i="8"/>
  <c r="DK7" i="8"/>
  <c r="DJ7" i="8"/>
  <c r="DI7" i="8"/>
  <c r="DH7" i="8"/>
  <c r="DG7" i="8"/>
  <c r="DF7" i="8"/>
  <c r="DE7" i="8"/>
  <c r="DD7" i="8"/>
  <c r="DC7" i="8"/>
  <c r="DB7" i="8"/>
  <c r="DA7" i="8"/>
  <c r="CZ7" i="8"/>
  <c r="CY7" i="8"/>
  <c r="CX7" i="8"/>
  <c r="CW7" i="8"/>
  <c r="CV7" i="8"/>
  <c r="CU7" i="8"/>
  <c r="CT7" i="8"/>
  <c r="CS7" i="8"/>
  <c r="CR7" i="8"/>
  <c r="CQ7" i="8"/>
  <c r="CP7" i="8"/>
  <c r="CO7" i="8"/>
  <c r="CN7" i="8"/>
  <c r="CM7" i="8"/>
  <c r="CL7" i="8"/>
  <c r="CK7" i="8"/>
  <c r="CJ7" i="8"/>
  <c r="CI7" i="8"/>
  <c r="CH7" i="8"/>
  <c r="CG7" i="8"/>
  <c r="CF7" i="8"/>
  <c r="CE7" i="8"/>
  <c r="CD7" i="8"/>
  <c r="CC7" i="8"/>
  <c r="CB7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NK33" i="11" l="1" a="1"/>
  <c r="NK33" i="11" s="1"/>
  <c r="NK18" i="11" a="1"/>
  <c r="NK18" i="11" s="1"/>
  <c r="NK34" i="11" a="1"/>
  <c r="NK34" i="11" s="1"/>
  <c r="NK19" i="11" a="1"/>
  <c r="NK19" i="11" s="1"/>
  <c r="NK43" i="11" a="1"/>
  <c r="NK43" i="11" s="1"/>
  <c r="NK22" i="11" a="1"/>
  <c r="NK22" i="11" s="1"/>
  <c r="NK35" i="11" a="1"/>
  <c r="NK35" i="11" s="1"/>
  <c r="NK30" i="11" a="1"/>
  <c r="NK30" i="11" s="1"/>
  <c r="NK20" i="11" a="1"/>
  <c r="NK20" i="11" s="1"/>
  <c r="NK28" i="11" a="1"/>
  <c r="NK28" i="11" s="1"/>
  <c r="NK36" i="11" a="1"/>
  <c r="NK36" i="11" s="1"/>
  <c r="NK45" i="11" a="1"/>
  <c r="NK45" i="11" s="1"/>
  <c r="NK21" i="11" a="1"/>
  <c r="NK21" i="11" s="1"/>
  <c r="NK29" i="11" a="1"/>
  <c r="NK29" i="11" s="1"/>
  <c r="NK37" i="11" a="1"/>
  <c r="NK37" i="11" s="1"/>
  <c r="NK38" i="11" a="1"/>
  <c r="NK38" i="11" s="1"/>
  <c r="NK23" i="11" a="1"/>
  <c r="NK23" i="11" s="1"/>
  <c r="NK31" i="11" a="1"/>
  <c r="NK31" i="11" s="1"/>
  <c r="NK39" i="11" a="1"/>
  <c r="NK39" i="11" s="1"/>
  <c r="NK16" i="11" a="1"/>
  <c r="NK16" i="11" s="1"/>
  <c r="NK24" i="11" a="1"/>
  <c r="NK24" i="11" s="1"/>
  <c r="NK32" i="11" a="1"/>
  <c r="NK32" i="11" s="1"/>
  <c r="NK40" i="11" a="1"/>
  <c r="NK40" i="11" s="1"/>
  <c r="NK17" i="11" a="1"/>
  <c r="NK17" i="11" s="1"/>
  <c r="NK25" i="11" a="1"/>
  <c r="NK25" i="11" s="1"/>
  <c r="NK41" i="11" a="1"/>
  <c r="NK41" i="11" s="1"/>
  <c r="NK26" i="11" a="1"/>
  <c r="NK26" i="11" s="1"/>
  <c r="NK42" i="11" a="1"/>
  <c r="NK42" i="11" s="1"/>
  <c r="NK27" i="11" a="1"/>
  <c r="NK27" i="11" s="1"/>
  <c r="NK44" i="11" a="1"/>
  <c r="NK44" i="11" s="1"/>
  <c r="NK11" i="11" a="1"/>
  <c r="NK11" i="11" s="1"/>
  <c r="NK51" i="11" a="1"/>
  <c r="NK51" i="11" s="1"/>
  <c r="NK59" i="11" a="1"/>
  <c r="NK59" i="11" s="1"/>
  <c r="NK67" i="11" a="1"/>
  <c r="NK67" i="11" s="1"/>
  <c r="NK50" i="11" a="1"/>
  <c r="NK50" i="11" s="1"/>
  <c r="NK12" i="11" a="1"/>
  <c r="NK12" i="11" s="1"/>
  <c r="NK52" i="11" a="1"/>
  <c r="NK52" i="11" s="1"/>
  <c r="NK60" i="11" a="1"/>
  <c r="NK60" i="11" s="1"/>
  <c r="NK68" i="11" a="1"/>
  <c r="NK68" i="11" s="1"/>
  <c r="NK49" i="11" a="1"/>
  <c r="NK49" i="11" s="1"/>
  <c r="NK13" i="11" a="1"/>
  <c r="NK13" i="11" s="1"/>
  <c r="NK53" i="11" a="1"/>
  <c r="NK53" i="11" s="1"/>
  <c r="NK61" i="11" a="1"/>
  <c r="NK61" i="11" s="1"/>
  <c r="NK69" i="11" a="1"/>
  <c r="NK69" i="11" s="1"/>
  <c r="NK65" i="11" a="1"/>
  <c r="NK65" i="11" s="1"/>
  <c r="NK58" i="11" a="1"/>
  <c r="NK58" i="11" s="1"/>
  <c r="NK14" i="11" a="1"/>
  <c r="NK14" i="11" s="1"/>
  <c r="NK46" i="11" a="1"/>
  <c r="NK46" i="11" s="1"/>
  <c r="NK54" i="11" a="1"/>
  <c r="NK54" i="11" s="1"/>
  <c r="NK62" i="11" a="1"/>
  <c r="NK62" i="11" s="1"/>
  <c r="NK70" i="11" a="1"/>
  <c r="NK70" i="11" s="1"/>
  <c r="NK15" i="11" a="1"/>
  <c r="NK15" i="11" s="1"/>
  <c r="NK47" i="11" a="1"/>
  <c r="NK47" i="11" s="1"/>
  <c r="NK55" i="11" a="1"/>
  <c r="NK55" i="11" s="1"/>
  <c r="NK63" i="11" a="1"/>
  <c r="NK63" i="11" s="1"/>
  <c r="NK71" i="11" a="1"/>
  <c r="NK71" i="11" s="1"/>
  <c r="NK48" i="11" a="1"/>
  <c r="NK48" i="11" s="1"/>
  <c r="NK56" i="11" a="1"/>
  <c r="NK56" i="11" s="1"/>
  <c r="NK64" i="11" a="1"/>
  <c r="NK64" i="11" s="1"/>
  <c r="NK57" i="11" a="1"/>
  <c r="NK57" i="11" s="1"/>
  <c r="NK66" i="11" a="1"/>
  <c r="NK66" i="11" s="1"/>
  <c r="NK10" i="12" a="1"/>
  <c r="NK10" i="12" s="1"/>
  <c r="NK42" i="12" a="1"/>
  <c r="NK42" i="12" s="1"/>
  <c r="NK44" i="12" a="1"/>
  <c r="NK44" i="12" s="1"/>
  <c r="NK45" i="12" a="1"/>
  <c r="NK45" i="12" s="1"/>
  <c r="NK43" i="12" a="1"/>
  <c r="NK43" i="12" s="1"/>
  <c r="NK10" i="11" a="1"/>
  <c r="NK10" i="11" s="1"/>
  <c r="NJ5" i="8"/>
  <c r="NI5" i="8"/>
  <c r="NH5" i="8"/>
  <c r="NG5" i="8"/>
  <c r="NF5" i="8"/>
  <c r="NE5" i="8"/>
  <c r="ND5" i="8"/>
  <c r="NC5" i="8"/>
  <c r="NB5" i="8"/>
  <c r="NA5" i="8"/>
  <c r="MZ5" i="8"/>
  <c r="MY5" i="8"/>
  <c r="MX5" i="8"/>
  <c r="MW5" i="8"/>
  <c r="MV5" i="8"/>
  <c r="MU5" i="8"/>
  <c r="MT5" i="8"/>
  <c r="MS5" i="8"/>
  <c r="MR5" i="8"/>
  <c r="MQ5" i="8"/>
  <c r="MP5" i="8"/>
  <c r="MO5" i="8"/>
  <c r="MN5" i="8"/>
  <c r="MM5" i="8"/>
  <c r="ML5" i="8"/>
  <c r="MK5" i="8"/>
  <c r="MJ5" i="8"/>
  <c r="MI5" i="8"/>
  <c r="MH5" i="8"/>
  <c r="MG5" i="8"/>
  <c r="MF5" i="8"/>
  <c r="ME5" i="8"/>
  <c r="MD5" i="8"/>
  <c r="MC5" i="8"/>
  <c r="MB5" i="8"/>
  <c r="MA5" i="8"/>
  <c r="LZ5" i="8"/>
  <c r="LY5" i="8"/>
  <c r="LX5" i="8"/>
  <c r="LW5" i="8"/>
  <c r="LV5" i="8"/>
  <c r="LU5" i="8"/>
  <c r="LT5" i="8"/>
  <c r="LS5" i="8"/>
  <c r="LR5" i="8"/>
  <c r="LQ5" i="8"/>
  <c r="LP5" i="8"/>
  <c r="LO5" i="8"/>
  <c r="LN5" i="8"/>
  <c r="LM5" i="8"/>
  <c r="LL5" i="8"/>
  <c r="LK5" i="8"/>
  <c r="LJ5" i="8"/>
  <c r="LI5" i="8"/>
  <c r="LH5" i="8"/>
  <c r="LG5" i="8"/>
  <c r="LF5" i="8"/>
  <c r="LE5" i="8"/>
  <c r="LD5" i="8"/>
  <c r="LC5" i="8"/>
  <c r="LB5" i="8"/>
  <c r="LA5" i="8"/>
  <c r="KZ5" i="8"/>
  <c r="KY5" i="8"/>
  <c r="KX5" i="8"/>
  <c r="KW5" i="8"/>
  <c r="KV5" i="8"/>
  <c r="KU5" i="8"/>
  <c r="KT5" i="8"/>
  <c r="KS5" i="8"/>
  <c r="KR5" i="8"/>
  <c r="KQ5" i="8"/>
  <c r="KP5" i="8"/>
  <c r="KO5" i="8"/>
  <c r="KN5" i="8"/>
  <c r="KM5" i="8"/>
  <c r="KL5" i="8"/>
  <c r="KK5" i="8"/>
  <c r="KJ5" i="8"/>
  <c r="KI5" i="8"/>
  <c r="KH5" i="8"/>
  <c r="KG5" i="8"/>
  <c r="KF5" i="8"/>
  <c r="KE5" i="8"/>
  <c r="KD5" i="8"/>
  <c r="KC5" i="8"/>
  <c r="KB5" i="8"/>
  <c r="KA5" i="8"/>
  <c r="JZ5" i="8"/>
  <c r="JY5" i="8"/>
  <c r="JX5" i="8"/>
  <c r="JW5" i="8"/>
  <c r="JV5" i="8"/>
  <c r="JU5" i="8"/>
  <c r="JT5" i="8"/>
  <c r="JS5" i="8"/>
  <c r="JR5" i="8"/>
  <c r="JQ5" i="8"/>
  <c r="JP5" i="8"/>
  <c r="JO5" i="8"/>
  <c r="JN5" i="8"/>
  <c r="JM5" i="8"/>
  <c r="JL5" i="8"/>
  <c r="JK5" i="8"/>
  <c r="JJ5" i="8"/>
  <c r="JI5" i="8"/>
  <c r="JH5" i="8"/>
  <c r="JG5" i="8"/>
  <c r="JF5" i="8"/>
  <c r="JE5" i="8"/>
  <c r="JD5" i="8"/>
  <c r="JC5" i="8"/>
  <c r="JB5" i="8"/>
  <c r="JA5" i="8"/>
  <c r="IZ5" i="8"/>
  <c r="IY5" i="8"/>
  <c r="IX5" i="8"/>
  <c r="IW5" i="8"/>
  <c r="IV5" i="8"/>
  <c r="IU5" i="8"/>
  <c r="IT5" i="8"/>
  <c r="IS5" i="8"/>
  <c r="IR5" i="8"/>
  <c r="IQ5" i="8"/>
  <c r="IP5" i="8"/>
  <c r="IO5" i="8"/>
  <c r="IN5" i="8"/>
  <c r="IM5" i="8"/>
  <c r="IL5" i="8"/>
  <c r="IK5" i="8"/>
  <c r="IJ5" i="8"/>
  <c r="II5" i="8"/>
  <c r="IH5" i="8"/>
  <c r="IG5" i="8"/>
  <c r="IF5" i="8"/>
  <c r="IE5" i="8"/>
  <c r="ID5" i="8"/>
  <c r="IC5" i="8"/>
  <c r="IB5" i="8"/>
  <c r="IA5" i="8"/>
  <c r="HZ5" i="8"/>
  <c r="HY5" i="8"/>
  <c r="HX5" i="8"/>
  <c r="HW5" i="8"/>
  <c r="HV5" i="8"/>
  <c r="HU5" i="8"/>
  <c r="HT5" i="8"/>
  <c r="HS5" i="8"/>
  <c r="HR5" i="8"/>
  <c r="HQ5" i="8"/>
  <c r="HP5" i="8"/>
  <c r="HO5" i="8"/>
  <c r="HN5" i="8"/>
  <c r="HM5" i="8"/>
  <c r="HL5" i="8"/>
  <c r="HK5" i="8"/>
  <c r="HJ5" i="8"/>
  <c r="HI5" i="8"/>
  <c r="HH5" i="8"/>
  <c r="HG5" i="8"/>
  <c r="HF5" i="8"/>
  <c r="HE5" i="8"/>
  <c r="HD5" i="8"/>
  <c r="HC5" i="8"/>
  <c r="HB5" i="8"/>
  <c r="HA5" i="8"/>
  <c r="GZ5" i="8"/>
  <c r="GY5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D5" i="8"/>
  <c r="C5" i="8"/>
  <c r="G2" i="5"/>
  <c r="G1" i="5"/>
  <c r="AH8" i="8"/>
  <c r="NS29" i="8" l="1"/>
  <c r="NL29" i="8" a="1"/>
  <c r="NL29" i="8" s="1"/>
  <c r="NM29" i="8"/>
  <c r="NN29" i="8"/>
  <c r="NO29" i="8"/>
  <c r="NP29" i="8"/>
  <c r="NQ29" i="8"/>
  <c r="NR29" i="8"/>
  <c r="NL32" i="8" a="1"/>
  <c r="NL32" i="8" s="1"/>
  <c r="NL40" i="8" a="1"/>
  <c r="NL40" i="8" s="1"/>
  <c r="NL43" i="8" a="1"/>
  <c r="NL43" i="8" s="1"/>
  <c r="NL33" i="8" a="1"/>
  <c r="NL33" i="8" s="1"/>
  <c r="NL41" i="8" a="1"/>
  <c r="NL41" i="8" s="1"/>
  <c r="NL44" i="8" a="1"/>
  <c r="NL44" i="8" s="1"/>
  <c r="NL34" i="8" a="1"/>
  <c r="NL34" i="8" s="1"/>
  <c r="NL42" i="8" a="1"/>
  <c r="NL42" i="8" s="1"/>
  <c r="NL35" i="8" a="1"/>
  <c r="NL35" i="8" s="1"/>
  <c r="NL36" i="8" a="1"/>
  <c r="NL36" i="8" s="1"/>
  <c r="NL37" i="8" a="1"/>
  <c r="NL37" i="8" s="1"/>
  <c r="NL38" i="8" a="1"/>
  <c r="NL38" i="8" s="1"/>
  <c r="NL45" i="8" a="1"/>
  <c r="NL45" i="8" s="1"/>
  <c r="NL39" i="8" a="1"/>
  <c r="NL39" i="8" s="1"/>
  <c r="NQ44" i="8"/>
  <c r="NP44" i="8"/>
  <c r="NR44" i="8"/>
  <c r="NS44" i="8"/>
  <c r="NM44" i="8"/>
  <c r="NN44" i="8"/>
  <c r="NO44" i="8"/>
  <c r="NQ43" i="8"/>
  <c r="NR43" i="8"/>
  <c r="NS43" i="8"/>
  <c r="NM43" i="8"/>
  <c r="NO43" i="8"/>
  <c r="NP43" i="8"/>
  <c r="NN43" i="8"/>
  <c r="NL13" i="8" a="1"/>
  <c r="NL13" i="8" s="1"/>
  <c r="NS40" i="8"/>
  <c r="NQ40" i="8"/>
  <c r="NM40" i="8"/>
  <c r="NR40" i="8"/>
  <c r="NN40" i="8"/>
  <c r="NO40" i="8"/>
  <c r="NP40" i="8"/>
  <c r="NQ41" i="8"/>
  <c r="NN42" i="8"/>
  <c r="NR41" i="8"/>
  <c r="NO42" i="8"/>
  <c r="NS41" i="8"/>
  <c r="NP42" i="8"/>
  <c r="NQ42" i="8"/>
  <c r="NM41" i="8"/>
  <c r="NR42" i="8"/>
  <c r="NM42" i="8"/>
  <c r="NN41" i="8"/>
  <c r="NS42" i="8"/>
  <c r="NO41" i="8"/>
  <c r="NP41" i="8"/>
  <c r="NS45" i="8"/>
  <c r="NR45" i="8"/>
  <c r="NQ45" i="8"/>
  <c r="NP45" i="8"/>
  <c r="NO45" i="8"/>
  <c r="NN45" i="8"/>
  <c r="NM45" i="8"/>
  <c r="NL22" i="8" a="1"/>
  <c r="NL22" i="8" s="1"/>
  <c r="NL31" i="8" a="1"/>
  <c r="NL31" i="8" s="1"/>
  <c r="NL23" i="8" a="1"/>
  <c r="NL23" i="8" s="1"/>
  <c r="NL24" i="8" a="1"/>
  <c r="NL24" i="8" s="1"/>
  <c r="NL25" i="8" a="1"/>
  <c r="NL25" i="8" s="1"/>
  <c r="NL21" i="8" a="1"/>
  <c r="NL21" i="8" s="1"/>
  <c r="NL18" i="8" a="1"/>
  <c r="NL18" i="8" s="1"/>
  <c r="NL26" i="8" a="1"/>
  <c r="NL26" i="8" s="1"/>
  <c r="NL30" i="8" a="1"/>
  <c r="NL30" i="8" s="1"/>
  <c r="NL19" i="8" a="1"/>
  <c r="NL19" i="8" s="1"/>
  <c r="NL27" i="8" a="1"/>
  <c r="NL27" i="8" s="1"/>
  <c r="NL28" i="8" a="1"/>
  <c r="NL28" i="8" s="1"/>
  <c r="NL20" i="8" a="1"/>
  <c r="NL20" i="8" s="1"/>
  <c r="NQ32" i="8"/>
  <c r="NR32" i="8"/>
  <c r="NS32" i="8"/>
  <c r="NM32" i="8"/>
  <c r="NO32" i="8"/>
  <c r="NN32" i="8"/>
  <c r="NP32" i="8"/>
  <c r="NS14" i="8"/>
  <c r="NR14" i="8"/>
  <c r="NQ14" i="8"/>
  <c r="NN14" i="8"/>
  <c r="NO14" i="8"/>
  <c r="NP14" i="8"/>
  <c r="NM14" i="8"/>
  <c r="NL14" i="8" a="1"/>
  <c r="NL14" i="8" s="1"/>
  <c r="NS15" i="8"/>
  <c r="NL15" i="8" a="1"/>
  <c r="NL15" i="8" s="1"/>
  <c r="NS24" i="8"/>
  <c r="NM15" i="8"/>
  <c r="NR24" i="8"/>
  <c r="NN15" i="8"/>
  <c r="NQ24" i="8"/>
  <c r="NO24" i="8"/>
  <c r="NN24" i="8"/>
  <c r="NM24" i="8"/>
  <c r="NO15" i="8"/>
  <c r="NP24" i="8"/>
  <c r="NP15" i="8"/>
  <c r="NQ15" i="8"/>
  <c r="NR15" i="8"/>
  <c r="NL10" i="8" a="1"/>
  <c r="NL10" i="8" s="1"/>
  <c r="NL12" i="8" a="1"/>
  <c r="NL12" i="8" s="1"/>
  <c r="NL16" i="8" a="1"/>
  <c r="NL16" i="8" s="1"/>
  <c r="NL17" i="8" a="1"/>
  <c r="NL17" i="8" s="1"/>
  <c r="NL11" i="8" a="1"/>
  <c r="NL11" i="8" s="1"/>
  <c r="NM21" i="8"/>
  <c r="NS21" i="8"/>
  <c r="NR21" i="8"/>
  <c r="NQ21" i="8"/>
  <c r="NP21" i="8"/>
  <c r="NN21" i="8"/>
  <c r="NO21" i="8"/>
  <c r="NO33" i="8"/>
  <c r="NS33" i="8"/>
  <c r="NP34" i="8"/>
  <c r="NM35" i="8"/>
  <c r="NQ35" i="8"/>
  <c r="NN36" i="8"/>
  <c r="NR36" i="8"/>
  <c r="NN37" i="8"/>
  <c r="NR37" i="8"/>
  <c r="NP39" i="8"/>
  <c r="NP33" i="8"/>
  <c r="NM34" i="8"/>
  <c r="NQ34" i="8"/>
  <c r="NN35" i="8"/>
  <c r="NR35" i="8"/>
  <c r="NO36" i="8"/>
  <c r="NS36" i="8"/>
  <c r="NO37" i="8"/>
  <c r="NS37" i="8"/>
  <c r="NM39" i="8"/>
  <c r="NQ39" i="8"/>
  <c r="NM33" i="8"/>
  <c r="NQ33" i="8"/>
  <c r="NN34" i="8"/>
  <c r="NR34" i="8"/>
  <c r="NO35" i="8"/>
  <c r="NS35" i="8"/>
  <c r="NP36" i="8"/>
  <c r="NP37" i="8"/>
  <c r="NN39" i="8"/>
  <c r="NR39" i="8"/>
  <c r="NN33" i="8"/>
  <c r="NR33" i="8"/>
  <c r="NO34" i="8"/>
  <c r="NS34" i="8"/>
  <c r="NP35" i="8"/>
  <c r="NM36" i="8"/>
  <c r="NQ36" i="8"/>
  <c r="NM37" i="8"/>
  <c r="NQ37" i="8"/>
  <c r="NO39" i="8"/>
  <c r="NS39" i="8"/>
  <c r="NS27" i="8"/>
  <c r="NS22" i="8"/>
  <c r="NS18" i="8"/>
  <c r="NS13" i="8"/>
  <c r="NR30" i="8"/>
  <c r="NR25" i="8"/>
  <c r="NR20" i="8"/>
  <c r="NR16" i="8"/>
  <c r="NR11" i="8"/>
  <c r="NQ27" i="8"/>
  <c r="NS31" i="8"/>
  <c r="NS26" i="8"/>
  <c r="NS17" i="8"/>
  <c r="NS12" i="8"/>
  <c r="NR28" i="8"/>
  <c r="NR23" i="8"/>
  <c r="NR19" i="8"/>
  <c r="NR10" i="8"/>
  <c r="NQ31" i="8"/>
  <c r="NQ26" i="8"/>
  <c r="NQ17" i="8"/>
  <c r="NQ12" i="8"/>
  <c r="NP28" i="8"/>
  <c r="NP23" i="8"/>
  <c r="NS30" i="8"/>
  <c r="NS25" i="8"/>
  <c r="NS20" i="8"/>
  <c r="NS16" i="8"/>
  <c r="NS11" i="8"/>
  <c r="NR27" i="8"/>
  <c r="NR22" i="8"/>
  <c r="NR18" i="8"/>
  <c r="NR13" i="8"/>
  <c r="NQ30" i="8"/>
  <c r="NQ25" i="8"/>
  <c r="NQ20" i="8"/>
  <c r="NQ16" i="8"/>
  <c r="NQ11" i="8"/>
  <c r="NS28" i="8"/>
  <c r="NS23" i="8"/>
  <c r="NS19" i="8"/>
  <c r="NS10" i="8"/>
  <c r="NR31" i="8"/>
  <c r="NR26" i="8"/>
  <c r="NR17" i="8"/>
  <c r="NR12" i="8"/>
  <c r="NQ28" i="8"/>
  <c r="NQ23" i="8"/>
  <c r="NQ19" i="8"/>
  <c r="NQ10" i="8"/>
  <c r="NP31" i="8"/>
  <c r="NQ22" i="8"/>
  <c r="NP26" i="8"/>
  <c r="NP20" i="8"/>
  <c r="NP16" i="8"/>
  <c r="NP11" i="8"/>
  <c r="NO27" i="8"/>
  <c r="NO22" i="8"/>
  <c r="NO18" i="8"/>
  <c r="NO13" i="8"/>
  <c r="NN30" i="8"/>
  <c r="NN25" i="8"/>
  <c r="NN20" i="8"/>
  <c r="NN16" i="8"/>
  <c r="NN11" i="8"/>
  <c r="NM13" i="8"/>
  <c r="NM18" i="8"/>
  <c r="NM22" i="8"/>
  <c r="NM27" i="8"/>
  <c r="NQ18" i="8"/>
  <c r="NP25" i="8"/>
  <c r="NP19" i="8"/>
  <c r="NP10" i="8"/>
  <c r="NO31" i="8"/>
  <c r="NO26" i="8"/>
  <c r="NO17" i="8"/>
  <c r="NO12" i="8"/>
  <c r="NN28" i="8"/>
  <c r="NN23" i="8"/>
  <c r="NN19" i="8"/>
  <c r="NN10" i="8"/>
  <c r="NM19" i="8"/>
  <c r="NM23" i="8"/>
  <c r="NM28" i="8"/>
  <c r="NQ13" i="8"/>
  <c r="NP30" i="8"/>
  <c r="NP22" i="8"/>
  <c r="NP18" i="8"/>
  <c r="NP13" i="8"/>
  <c r="NO30" i="8"/>
  <c r="NO25" i="8"/>
  <c r="NO20" i="8"/>
  <c r="NO16" i="8"/>
  <c r="NO11" i="8"/>
  <c r="NN27" i="8"/>
  <c r="NN22" i="8"/>
  <c r="NN18" i="8"/>
  <c r="NN13" i="8"/>
  <c r="NM11" i="8"/>
  <c r="NM16" i="8"/>
  <c r="NM20" i="8"/>
  <c r="NM25" i="8"/>
  <c r="NM30" i="8"/>
  <c r="NP27" i="8"/>
  <c r="NP17" i="8"/>
  <c r="NP12" i="8"/>
  <c r="NO28" i="8"/>
  <c r="NO23" i="8"/>
  <c r="NO19" i="8"/>
  <c r="NO10" i="8"/>
  <c r="NN31" i="8"/>
  <c r="NN26" i="8"/>
  <c r="NN17" i="8"/>
  <c r="NN12" i="8"/>
  <c r="NM12" i="8"/>
  <c r="NM17" i="8"/>
  <c r="NM26" i="8"/>
  <c r="NM31" i="8"/>
  <c r="NM10" i="8"/>
  <c r="MF8" i="8" l="1"/>
  <c r="MF6" i="8" s="1"/>
  <c r="JV8" i="8"/>
  <c r="JV6" i="8" s="1"/>
  <c r="CR8" i="8"/>
  <c r="CR6" i="8" s="1"/>
  <c r="AH6" i="8"/>
  <c r="U8" i="8"/>
  <c r="U6" i="8" s="1"/>
  <c r="T8" i="8"/>
  <c r="T6" i="8" s="1"/>
  <c r="S8" i="8"/>
  <c r="S6" i="8" s="1"/>
  <c r="R8" i="8"/>
  <c r="R6" i="8" s="1"/>
  <c r="Q8" i="8"/>
  <c r="Q6" i="8" s="1"/>
  <c r="P8" i="8"/>
  <c r="P6" i="8" s="1"/>
  <c r="O8" i="8"/>
  <c r="O6" i="8" s="1"/>
  <c r="N8" i="8"/>
  <c r="N6" i="8" s="1"/>
  <c r="M8" i="8"/>
  <c r="M6" i="8" s="1"/>
  <c r="L8" i="8"/>
  <c r="L6" i="8" s="1"/>
  <c r="K8" i="8"/>
  <c r="K6" i="8" s="1"/>
  <c r="J8" i="8"/>
  <c r="J6" i="8" s="1"/>
  <c r="I8" i="8"/>
  <c r="I6" i="8" s="1"/>
  <c r="H8" i="8"/>
  <c r="H6" i="8" s="1"/>
  <c r="G8" i="8"/>
  <c r="G6" i="8" s="1"/>
  <c r="F8" i="8"/>
  <c r="F6" i="8" s="1"/>
  <c r="E8" i="8"/>
  <c r="E6" i="8" s="1"/>
  <c r="D8" i="8"/>
  <c r="D6" i="8" s="1"/>
  <c r="C8" i="8"/>
  <c r="C6" i="8" s="1"/>
  <c r="AA8" i="8" l="1"/>
  <c r="AA6" i="8" s="1"/>
  <c r="AE8" i="8"/>
  <c r="AE6" i="8" s="1"/>
  <c r="AQ8" i="8"/>
  <c r="AQ6" i="8" s="1"/>
  <c r="BC8" i="8"/>
  <c r="BC6" i="8" s="1"/>
  <c r="BS8" i="8"/>
  <c r="BS6" i="8" s="1"/>
  <c r="CE8" i="8"/>
  <c r="CE6" i="8" s="1"/>
  <c r="CQ8" i="8"/>
  <c r="CQ6" i="8" s="1"/>
  <c r="CY8" i="8"/>
  <c r="CY6" i="8" s="1"/>
  <c r="DO8" i="8"/>
  <c r="DO6" i="8" s="1"/>
  <c r="DW8" i="8"/>
  <c r="DW6" i="8" s="1"/>
  <c r="EI8" i="8"/>
  <c r="EI6" i="8" s="1"/>
  <c r="EU8" i="8"/>
  <c r="EU6" i="8" s="1"/>
  <c r="FG8" i="8"/>
  <c r="FG6" i="8" s="1"/>
  <c r="FS8" i="8"/>
  <c r="FS6" i="8" s="1"/>
  <c r="GE8" i="8"/>
  <c r="GE6" i="8" s="1"/>
  <c r="GQ8" i="8"/>
  <c r="GQ6" i="8" s="1"/>
  <c r="GY8" i="8"/>
  <c r="GY6" i="8" s="1"/>
  <c r="HO8" i="8"/>
  <c r="HO6" i="8" s="1"/>
  <c r="IA8" i="8"/>
  <c r="IA6" i="8" s="1"/>
  <c r="II8" i="8"/>
  <c r="II6" i="8" s="1"/>
  <c r="IY8" i="8"/>
  <c r="IY6" i="8" s="1"/>
  <c r="JK8" i="8"/>
  <c r="JK6" i="8" s="1"/>
  <c r="JW8" i="8"/>
  <c r="JW6" i="8" s="1"/>
  <c r="KI8" i="8"/>
  <c r="KI6" i="8" s="1"/>
  <c r="KU8" i="8"/>
  <c r="KU6" i="8" s="1"/>
  <c r="LG8" i="8"/>
  <c r="LG6" i="8" s="1"/>
  <c r="LS8" i="8"/>
  <c r="LS6" i="8" s="1"/>
  <c r="ME8" i="8"/>
  <c r="ME6" i="8" s="1"/>
  <c r="MI8" i="8"/>
  <c r="MI6" i="8" s="1"/>
  <c r="MU8" i="8"/>
  <c r="MU6" i="8" s="1"/>
  <c r="MY8" i="8"/>
  <c r="MY6" i="8" s="1"/>
  <c r="NC8" i="8"/>
  <c r="NC6" i="8" s="1"/>
  <c r="NG8" i="8"/>
  <c r="NG6" i="8" s="1"/>
  <c r="X8" i="8"/>
  <c r="X6" i="8" s="1"/>
  <c r="AB8" i="8"/>
  <c r="AB6" i="8" s="1"/>
  <c r="AF8" i="8"/>
  <c r="AF6" i="8" s="1"/>
  <c r="AJ8" i="8"/>
  <c r="AJ6" i="8" s="1"/>
  <c r="AN8" i="8"/>
  <c r="AN6" i="8" s="1"/>
  <c r="AR8" i="8"/>
  <c r="AR6" i="8" s="1"/>
  <c r="AV8" i="8"/>
  <c r="AV6" i="8" s="1"/>
  <c r="AZ8" i="8"/>
  <c r="AZ6" i="8" s="1"/>
  <c r="BD8" i="8"/>
  <c r="BD6" i="8" s="1"/>
  <c r="BH8" i="8"/>
  <c r="BH6" i="8" s="1"/>
  <c r="BL8" i="8"/>
  <c r="BL6" i="8" s="1"/>
  <c r="BP8" i="8"/>
  <c r="BP6" i="8" s="1"/>
  <c r="BT8" i="8"/>
  <c r="BT6" i="8" s="1"/>
  <c r="BX8" i="8"/>
  <c r="BX6" i="8" s="1"/>
  <c r="CB8" i="8"/>
  <c r="CB6" i="8" s="1"/>
  <c r="CF8" i="8"/>
  <c r="CF6" i="8" s="1"/>
  <c r="CJ8" i="8"/>
  <c r="CJ6" i="8" s="1"/>
  <c r="CN8" i="8"/>
  <c r="CN6" i="8" s="1"/>
  <c r="CV8" i="8"/>
  <c r="CV6" i="8" s="1"/>
  <c r="CZ8" i="8"/>
  <c r="CZ6" i="8" s="1"/>
  <c r="DD8" i="8"/>
  <c r="DD6" i="8" s="1"/>
  <c r="DH8" i="8"/>
  <c r="DH6" i="8" s="1"/>
  <c r="DL8" i="8"/>
  <c r="DL6" i="8" s="1"/>
  <c r="DP8" i="8"/>
  <c r="DP6" i="8" s="1"/>
  <c r="DT8" i="8"/>
  <c r="DT6" i="8" s="1"/>
  <c r="DX8" i="8"/>
  <c r="DX6" i="8" s="1"/>
  <c r="EB8" i="8"/>
  <c r="EB6" i="8" s="1"/>
  <c r="EF8" i="8"/>
  <c r="EF6" i="8" s="1"/>
  <c r="EJ8" i="8"/>
  <c r="EJ6" i="8" s="1"/>
  <c r="EN8" i="8"/>
  <c r="EN6" i="8" s="1"/>
  <c r="ER8" i="8"/>
  <c r="ER6" i="8" s="1"/>
  <c r="EV8" i="8"/>
  <c r="EV6" i="8" s="1"/>
  <c r="EZ8" i="8"/>
  <c r="EZ6" i="8" s="1"/>
  <c r="FD8" i="8"/>
  <c r="FD6" i="8" s="1"/>
  <c r="FH8" i="8"/>
  <c r="FH6" i="8" s="1"/>
  <c r="FL8" i="8"/>
  <c r="FL6" i="8" s="1"/>
  <c r="FP8" i="8"/>
  <c r="FP6" i="8" s="1"/>
  <c r="FT8" i="8"/>
  <c r="FT6" i="8" s="1"/>
  <c r="FX8" i="8"/>
  <c r="FX6" i="8" s="1"/>
  <c r="GB8" i="8"/>
  <c r="GB6" i="8" s="1"/>
  <c r="GF8" i="8"/>
  <c r="GF6" i="8" s="1"/>
  <c r="GJ8" i="8"/>
  <c r="GJ6" i="8" s="1"/>
  <c r="GN8" i="8"/>
  <c r="GN6" i="8" s="1"/>
  <c r="GR8" i="8"/>
  <c r="GR6" i="8" s="1"/>
  <c r="GV8" i="8"/>
  <c r="GV6" i="8" s="1"/>
  <c r="GZ8" i="8"/>
  <c r="GZ6" i="8" s="1"/>
  <c r="HD8" i="8"/>
  <c r="HD6" i="8" s="1"/>
  <c r="HH8" i="8"/>
  <c r="HH6" i="8" s="1"/>
  <c r="HL8" i="8"/>
  <c r="HL6" i="8" s="1"/>
  <c r="HP8" i="8"/>
  <c r="HP6" i="8" s="1"/>
  <c r="HT8" i="8"/>
  <c r="HT6" i="8" s="1"/>
  <c r="HX8" i="8"/>
  <c r="HX6" i="8" s="1"/>
  <c r="IB8" i="8"/>
  <c r="IB6" i="8" s="1"/>
  <c r="IF8" i="8"/>
  <c r="IF6" i="8" s="1"/>
  <c r="IJ8" i="8"/>
  <c r="IJ6" i="8" s="1"/>
  <c r="IN8" i="8"/>
  <c r="IN6" i="8" s="1"/>
  <c r="IR8" i="8"/>
  <c r="IR6" i="8" s="1"/>
  <c r="IV8" i="8"/>
  <c r="IV6" i="8" s="1"/>
  <c r="IZ8" i="8"/>
  <c r="IZ6" i="8" s="1"/>
  <c r="JD8" i="8"/>
  <c r="JD6" i="8" s="1"/>
  <c r="JH8" i="8"/>
  <c r="JH6" i="8" s="1"/>
  <c r="JL8" i="8"/>
  <c r="JL6" i="8" s="1"/>
  <c r="JP8" i="8"/>
  <c r="JP6" i="8" s="1"/>
  <c r="JT8" i="8"/>
  <c r="JT6" i="8" s="1"/>
  <c r="JX8" i="8"/>
  <c r="JX6" i="8" s="1"/>
  <c r="KB8" i="8"/>
  <c r="KB6" i="8" s="1"/>
  <c r="KF8" i="8"/>
  <c r="KF6" i="8" s="1"/>
  <c r="KJ8" i="8"/>
  <c r="KJ6" i="8" s="1"/>
  <c r="KN8" i="8"/>
  <c r="KN6" i="8" s="1"/>
  <c r="KR8" i="8"/>
  <c r="KR6" i="8" s="1"/>
  <c r="KV8" i="8"/>
  <c r="KV6" i="8" s="1"/>
  <c r="KZ8" i="8"/>
  <c r="KZ6" i="8" s="1"/>
  <c r="LD8" i="8"/>
  <c r="LD6" i="8" s="1"/>
  <c r="LH8" i="8"/>
  <c r="LH6" i="8" s="1"/>
  <c r="LL8" i="8"/>
  <c r="LL6" i="8" s="1"/>
  <c r="LP8" i="8"/>
  <c r="LP6" i="8" s="1"/>
  <c r="LT8" i="8"/>
  <c r="LT6" i="8" s="1"/>
  <c r="LX8" i="8"/>
  <c r="LX6" i="8" s="1"/>
  <c r="MB8" i="8"/>
  <c r="MB6" i="8" s="1"/>
  <c r="MJ8" i="8"/>
  <c r="MJ6" i="8" s="1"/>
  <c r="MN8" i="8"/>
  <c r="MN6" i="8" s="1"/>
  <c r="MR8" i="8"/>
  <c r="MR6" i="8" s="1"/>
  <c r="MV8" i="8"/>
  <c r="MV6" i="8" s="1"/>
  <c r="MZ8" i="8"/>
  <c r="MZ6" i="8" s="1"/>
  <c r="ND8" i="8"/>
  <c r="ND6" i="8" s="1"/>
  <c r="NH8" i="8"/>
  <c r="NH6" i="8" s="1"/>
  <c r="AI8" i="8"/>
  <c r="AI6" i="8" s="1"/>
  <c r="AY8" i="8"/>
  <c r="AY6" i="8" s="1"/>
  <c r="BK8" i="8"/>
  <c r="BK6" i="8" s="1"/>
  <c r="BW8" i="8"/>
  <c r="BW6" i="8" s="1"/>
  <c r="CI8" i="8"/>
  <c r="CI6" i="8" s="1"/>
  <c r="CU8" i="8"/>
  <c r="CU6" i="8" s="1"/>
  <c r="DG8" i="8"/>
  <c r="DG6" i="8" s="1"/>
  <c r="DS8" i="8"/>
  <c r="DS6" i="8" s="1"/>
  <c r="EE8" i="8"/>
  <c r="EE6" i="8" s="1"/>
  <c r="EQ8" i="8"/>
  <c r="EQ6" i="8" s="1"/>
  <c r="FC8" i="8"/>
  <c r="FC6" i="8" s="1"/>
  <c r="FO8" i="8"/>
  <c r="FO6" i="8" s="1"/>
  <c r="GA8" i="8"/>
  <c r="GA6" i="8" s="1"/>
  <c r="GM8" i="8"/>
  <c r="GM6" i="8" s="1"/>
  <c r="HC8" i="8"/>
  <c r="HC6" i="8" s="1"/>
  <c r="HK8" i="8"/>
  <c r="HK6" i="8" s="1"/>
  <c r="IE8" i="8"/>
  <c r="IE6" i="8" s="1"/>
  <c r="IQ8" i="8"/>
  <c r="IQ6" i="8" s="1"/>
  <c r="JC8" i="8"/>
  <c r="JC6" i="8" s="1"/>
  <c r="JO8" i="8"/>
  <c r="JO6" i="8" s="1"/>
  <c r="KA8" i="8"/>
  <c r="KA6" i="8" s="1"/>
  <c r="KM8" i="8"/>
  <c r="KM6" i="8" s="1"/>
  <c r="KY8" i="8"/>
  <c r="KY6" i="8" s="1"/>
  <c r="LK8" i="8"/>
  <c r="LK6" i="8" s="1"/>
  <c r="MA8" i="8"/>
  <c r="MA6" i="8" s="1"/>
  <c r="MQ8" i="8"/>
  <c r="MQ6" i="8" s="1"/>
  <c r="AC8" i="8"/>
  <c r="AC6" i="8" s="1"/>
  <c r="AK8" i="8"/>
  <c r="AK6" i="8" s="1"/>
  <c r="AO8" i="8"/>
  <c r="AO6" i="8" s="1"/>
  <c r="AS8" i="8"/>
  <c r="AS6" i="8" s="1"/>
  <c r="AW8" i="8"/>
  <c r="AW6" i="8" s="1"/>
  <c r="BA8" i="8"/>
  <c r="BA6" i="8" s="1"/>
  <c r="BE8" i="8"/>
  <c r="BE6" i="8" s="1"/>
  <c r="BI8" i="8"/>
  <c r="BI6" i="8" s="1"/>
  <c r="BM8" i="8"/>
  <c r="BM6" i="8" s="1"/>
  <c r="BQ8" i="8"/>
  <c r="BQ6" i="8" s="1"/>
  <c r="BU8" i="8"/>
  <c r="BU6" i="8" s="1"/>
  <c r="BY8" i="8"/>
  <c r="BY6" i="8" s="1"/>
  <c r="CC8" i="8"/>
  <c r="CC6" i="8" s="1"/>
  <c r="CG8" i="8"/>
  <c r="CG6" i="8" s="1"/>
  <c r="CK8" i="8"/>
  <c r="CK6" i="8" s="1"/>
  <c r="CO8" i="8"/>
  <c r="CO6" i="8" s="1"/>
  <c r="CS8" i="8"/>
  <c r="CS6" i="8" s="1"/>
  <c r="CW8" i="8"/>
  <c r="CW6" i="8" s="1"/>
  <c r="DA8" i="8"/>
  <c r="DA6" i="8" s="1"/>
  <c r="DE8" i="8"/>
  <c r="DE6" i="8" s="1"/>
  <c r="DI8" i="8"/>
  <c r="DI6" i="8" s="1"/>
  <c r="DM8" i="8"/>
  <c r="DM6" i="8" s="1"/>
  <c r="DQ8" i="8"/>
  <c r="DQ6" i="8" s="1"/>
  <c r="DU8" i="8"/>
  <c r="DU6" i="8" s="1"/>
  <c r="DY8" i="8"/>
  <c r="DY6" i="8" s="1"/>
  <c r="EC8" i="8"/>
  <c r="EC6" i="8" s="1"/>
  <c r="EG8" i="8"/>
  <c r="EG6" i="8" s="1"/>
  <c r="EK8" i="8"/>
  <c r="EK6" i="8" s="1"/>
  <c r="EO8" i="8"/>
  <c r="EO6" i="8" s="1"/>
  <c r="ES8" i="8"/>
  <c r="ES6" i="8" s="1"/>
  <c r="EW8" i="8"/>
  <c r="EW6" i="8" s="1"/>
  <c r="FA8" i="8"/>
  <c r="FA6" i="8" s="1"/>
  <c r="FE8" i="8"/>
  <c r="FE6" i="8" s="1"/>
  <c r="FI8" i="8"/>
  <c r="FI6" i="8" s="1"/>
  <c r="FM8" i="8"/>
  <c r="FM6" i="8" s="1"/>
  <c r="FQ8" i="8"/>
  <c r="FQ6" i="8" s="1"/>
  <c r="FU8" i="8"/>
  <c r="FU6" i="8" s="1"/>
  <c r="FY8" i="8"/>
  <c r="FY6" i="8" s="1"/>
  <c r="GC8" i="8"/>
  <c r="GC6" i="8" s="1"/>
  <c r="GG8" i="8"/>
  <c r="GG6" i="8" s="1"/>
  <c r="GK8" i="8"/>
  <c r="GK6" i="8" s="1"/>
  <c r="GO8" i="8"/>
  <c r="GO6" i="8" s="1"/>
  <c r="GS8" i="8"/>
  <c r="GS6" i="8" s="1"/>
  <c r="GW8" i="8"/>
  <c r="GW6" i="8" s="1"/>
  <c r="HA8" i="8"/>
  <c r="HA6" i="8" s="1"/>
  <c r="HE8" i="8"/>
  <c r="HE6" i="8" s="1"/>
  <c r="HI8" i="8"/>
  <c r="HI6" i="8" s="1"/>
  <c r="HM8" i="8"/>
  <c r="HM6" i="8" s="1"/>
  <c r="HQ8" i="8"/>
  <c r="HQ6" i="8" s="1"/>
  <c r="HU8" i="8"/>
  <c r="HU6" i="8" s="1"/>
  <c r="HY8" i="8"/>
  <c r="HY6" i="8" s="1"/>
  <c r="IC8" i="8"/>
  <c r="IC6" i="8" s="1"/>
  <c r="IG8" i="8"/>
  <c r="IG6" i="8" s="1"/>
  <c r="IK8" i="8"/>
  <c r="IK6" i="8" s="1"/>
  <c r="IO8" i="8"/>
  <c r="IO6" i="8" s="1"/>
  <c r="IS8" i="8"/>
  <c r="IS6" i="8" s="1"/>
  <c r="IW8" i="8"/>
  <c r="IW6" i="8" s="1"/>
  <c r="JA8" i="8"/>
  <c r="JA6" i="8" s="1"/>
  <c r="JE8" i="8"/>
  <c r="JE6" i="8" s="1"/>
  <c r="JI8" i="8"/>
  <c r="JI6" i="8" s="1"/>
  <c r="JM8" i="8"/>
  <c r="JM6" i="8" s="1"/>
  <c r="JQ8" i="8"/>
  <c r="JQ6" i="8" s="1"/>
  <c r="JU8" i="8"/>
  <c r="JU6" i="8" s="1"/>
  <c r="JY8" i="8"/>
  <c r="JY6" i="8" s="1"/>
  <c r="KC8" i="8"/>
  <c r="KC6" i="8" s="1"/>
  <c r="KG8" i="8"/>
  <c r="KG6" i="8" s="1"/>
  <c r="KK8" i="8"/>
  <c r="KK6" i="8" s="1"/>
  <c r="KO8" i="8"/>
  <c r="KO6" i="8" s="1"/>
  <c r="KS8" i="8"/>
  <c r="KS6" i="8" s="1"/>
  <c r="KW8" i="8"/>
  <c r="KW6" i="8" s="1"/>
  <c r="LA8" i="8"/>
  <c r="LA6" i="8" s="1"/>
  <c r="LE8" i="8"/>
  <c r="LE6" i="8" s="1"/>
  <c r="LI8" i="8"/>
  <c r="LI6" i="8" s="1"/>
  <c r="LM8" i="8"/>
  <c r="LM6" i="8" s="1"/>
  <c r="LQ8" i="8"/>
  <c r="LQ6" i="8" s="1"/>
  <c r="LU8" i="8"/>
  <c r="LU6" i="8" s="1"/>
  <c r="LY8" i="8"/>
  <c r="LY6" i="8" s="1"/>
  <c r="MC8" i="8"/>
  <c r="MC6" i="8" s="1"/>
  <c r="MG8" i="8"/>
  <c r="MG6" i="8" s="1"/>
  <c r="MK8" i="8"/>
  <c r="MK6" i="8" s="1"/>
  <c r="MO8" i="8"/>
  <c r="MO6" i="8" s="1"/>
  <c r="MS8" i="8"/>
  <c r="MS6" i="8" s="1"/>
  <c r="MW8" i="8"/>
  <c r="MW6" i="8" s="1"/>
  <c r="NA8" i="8"/>
  <c r="NA6" i="8" s="1"/>
  <c r="NE8" i="8"/>
  <c r="NE6" i="8" s="1"/>
  <c r="NI8" i="8"/>
  <c r="NI6" i="8" s="1"/>
  <c r="W8" i="8"/>
  <c r="W6" i="8" s="1"/>
  <c r="AM8" i="8"/>
  <c r="AM6" i="8" s="1"/>
  <c r="AU8" i="8"/>
  <c r="AU6" i="8" s="1"/>
  <c r="BG8" i="8"/>
  <c r="BG6" i="8" s="1"/>
  <c r="BO8" i="8"/>
  <c r="BO6" i="8" s="1"/>
  <c r="CA8" i="8"/>
  <c r="CA6" i="8" s="1"/>
  <c r="CM8" i="8"/>
  <c r="CM6" i="8" s="1"/>
  <c r="DC8" i="8"/>
  <c r="DC6" i="8" s="1"/>
  <c r="DK8" i="8"/>
  <c r="DK6" i="8" s="1"/>
  <c r="EA8" i="8"/>
  <c r="EA6" i="8" s="1"/>
  <c r="EM8" i="8"/>
  <c r="EM6" i="8" s="1"/>
  <c r="EY8" i="8"/>
  <c r="EY6" i="8" s="1"/>
  <c r="FK8" i="8"/>
  <c r="FK6" i="8" s="1"/>
  <c r="FW8" i="8"/>
  <c r="FW6" i="8" s="1"/>
  <c r="GI8" i="8"/>
  <c r="GI6" i="8" s="1"/>
  <c r="GU8" i="8"/>
  <c r="GU6" i="8" s="1"/>
  <c r="HG8" i="8"/>
  <c r="HG6" i="8" s="1"/>
  <c r="HS8" i="8"/>
  <c r="HS6" i="8" s="1"/>
  <c r="HW8" i="8"/>
  <c r="HW6" i="8" s="1"/>
  <c r="IM8" i="8"/>
  <c r="IM6" i="8" s="1"/>
  <c r="IU8" i="8"/>
  <c r="IU6" i="8" s="1"/>
  <c r="JG8" i="8"/>
  <c r="JG6" i="8" s="1"/>
  <c r="JS8" i="8"/>
  <c r="JS6" i="8" s="1"/>
  <c r="KE8" i="8"/>
  <c r="KE6" i="8" s="1"/>
  <c r="KQ8" i="8"/>
  <c r="KQ6" i="8" s="1"/>
  <c r="LC8" i="8"/>
  <c r="LC6" i="8" s="1"/>
  <c r="LO8" i="8"/>
  <c r="LO6" i="8" s="1"/>
  <c r="LW8" i="8"/>
  <c r="LW6" i="8" s="1"/>
  <c r="MM8" i="8"/>
  <c r="MM6" i="8" s="1"/>
  <c r="Y8" i="8"/>
  <c r="Y6" i="8" s="1"/>
  <c r="AG8" i="8"/>
  <c r="AG6" i="8" s="1"/>
  <c r="V8" i="8"/>
  <c r="V6" i="8" s="1"/>
  <c r="Z8" i="8"/>
  <c r="Z6" i="8" s="1"/>
  <c r="AD8" i="8"/>
  <c r="AD6" i="8" s="1"/>
  <c r="AL8" i="8"/>
  <c r="AL6" i="8" s="1"/>
  <c r="AP8" i="8"/>
  <c r="AP6" i="8" s="1"/>
  <c r="AT8" i="8"/>
  <c r="AT6" i="8" s="1"/>
  <c r="AX8" i="8"/>
  <c r="AX6" i="8" s="1"/>
  <c r="BB8" i="8"/>
  <c r="BB6" i="8" s="1"/>
  <c r="BF8" i="8"/>
  <c r="BF6" i="8" s="1"/>
  <c r="BJ8" i="8"/>
  <c r="BJ6" i="8" s="1"/>
  <c r="BN8" i="8"/>
  <c r="BN6" i="8" s="1"/>
  <c r="BR8" i="8"/>
  <c r="BR6" i="8" s="1"/>
  <c r="BV8" i="8"/>
  <c r="BV6" i="8" s="1"/>
  <c r="BZ8" i="8"/>
  <c r="BZ6" i="8" s="1"/>
  <c r="CD8" i="8"/>
  <c r="CD6" i="8" s="1"/>
  <c r="CH8" i="8"/>
  <c r="CH6" i="8" s="1"/>
  <c r="CL8" i="8"/>
  <c r="CL6" i="8" s="1"/>
  <c r="CP8" i="8"/>
  <c r="CP6" i="8" s="1"/>
  <c r="CT8" i="8"/>
  <c r="CT6" i="8" s="1"/>
  <c r="CX8" i="8"/>
  <c r="CX6" i="8" s="1"/>
  <c r="DB8" i="8"/>
  <c r="DB6" i="8" s="1"/>
  <c r="DF8" i="8"/>
  <c r="DF6" i="8" s="1"/>
  <c r="DJ8" i="8"/>
  <c r="DJ6" i="8" s="1"/>
  <c r="DN8" i="8"/>
  <c r="DN6" i="8" s="1"/>
  <c r="DR8" i="8"/>
  <c r="DR6" i="8" s="1"/>
  <c r="DV8" i="8"/>
  <c r="DV6" i="8" s="1"/>
  <c r="DZ8" i="8"/>
  <c r="DZ6" i="8" s="1"/>
  <c r="ED8" i="8"/>
  <c r="ED6" i="8" s="1"/>
  <c r="EH8" i="8"/>
  <c r="EH6" i="8" s="1"/>
  <c r="EL8" i="8"/>
  <c r="EL6" i="8" s="1"/>
  <c r="EP8" i="8"/>
  <c r="EP6" i="8" s="1"/>
  <c r="ET8" i="8"/>
  <c r="ET6" i="8" s="1"/>
  <c r="EX8" i="8"/>
  <c r="EX6" i="8" s="1"/>
  <c r="FB8" i="8"/>
  <c r="FB6" i="8" s="1"/>
  <c r="FF8" i="8"/>
  <c r="FF6" i="8" s="1"/>
  <c r="FJ8" i="8"/>
  <c r="FJ6" i="8" s="1"/>
  <c r="FN8" i="8"/>
  <c r="FN6" i="8" s="1"/>
  <c r="FR8" i="8"/>
  <c r="FR6" i="8" s="1"/>
  <c r="FV8" i="8"/>
  <c r="FV6" i="8" s="1"/>
  <c r="FZ8" i="8"/>
  <c r="FZ6" i="8" s="1"/>
  <c r="GD8" i="8"/>
  <c r="GD6" i="8" s="1"/>
  <c r="GH8" i="8"/>
  <c r="GH6" i="8" s="1"/>
  <c r="GL8" i="8"/>
  <c r="GL6" i="8" s="1"/>
  <c r="GP8" i="8"/>
  <c r="GP6" i="8" s="1"/>
  <c r="GT8" i="8"/>
  <c r="GT6" i="8" s="1"/>
  <c r="GX8" i="8"/>
  <c r="GX6" i="8" s="1"/>
  <c r="HB8" i="8"/>
  <c r="HB6" i="8" s="1"/>
  <c r="HF8" i="8"/>
  <c r="HF6" i="8" s="1"/>
  <c r="HJ8" i="8"/>
  <c r="HJ6" i="8" s="1"/>
  <c r="HN8" i="8"/>
  <c r="HN6" i="8" s="1"/>
  <c r="HR8" i="8"/>
  <c r="HR6" i="8" s="1"/>
  <c r="HV8" i="8"/>
  <c r="HV6" i="8" s="1"/>
  <c r="HZ8" i="8"/>
  <c r="HZ6" i="8" s="1"/>
  <c r="ID8" i="8"/>
  <c r="ID6" i="8" s="1"/>
  <c r="IH8" i="8"/>
  <c r="IH6" i="8" s="1"/>
  <c r="IL8" i="8"/>
  <c r="IL6" i="8" s="1"/>
  <c r="IP8" i="8"/>
  <c r="IP6" i="8" s="1"/>
  <c r="IT8" i="8"/>
  <c r="IT6" i="8" s="1"/>
  <c r="IX8" i="8"/>
  <c r="IX6" i="8" s="1"/>
  <c r="JB8" i="8"/>
  <c r="JB6" i="8" s="1"/>
  <c r="JF8" i="8"/>
  <c r="JF6" i="8" s="1"/>
  <c r="JJ8" i="8"/>
  <c r="JJ6" i="8" s="1"/>
  <c r="JN8" i="8"/>
  <c r="JN6" i="8" s="1"/>
  <c r="JR8" i="8"/>
  <c r="JR6" i="8" s="1"/>
  <c r="JZ8" i="8"/>
  <c r="JZ6" i="8" s="1"/>
  <c r="KD8" i="8"/>
  <c r="KD6" i="8" s="1"/>
  <c r="KH8" i="8"/>
  <c r="KH6" i="8" s="1"/>
  <c r="KL8" i="8"/>
  <c r="KL6" i="8" s="1"/>
  <c r="KP8" i="8"/>
  <c r="KP6" i="8" s="1"/>
  <c r="KT8" i="8"/>
  <c r="KT6" i="8" s="1"/>
  <c r="KX8" i="8"/>
  <c r="KX6" i="8" s="1"/>
  <c r="LB8" i="8"/>
  <c r="LB6" i="8" s="1"/>
  <c r="LF8" i="8"/>
  <c r="LF6" i="8" s="1"/>
  <c r="LJ8" i="8"/>
  <c r="LJ6" i="8" s="1"/>
  <c r="LN8" i="8"/>
  <c r="LN6" i="8" s="1"/>
  <c r="LR8" i="8"/>
  <c r="LR6" i="8" s="1"/>
  <c r="LV8" i="8"/>
  <c r="LV6" i="8" s="1"/>
  <c r="LZ8" i="8"/>
  <c r="LZ6" i="8" s="1"/>
  <c r="MD8" i="8"/>
  <c r="MD6" i="8" s="1"/>
  <c r="MH8" i="8"/>
  <c r="MH6" i="8" s="1"/>
  <c r="ML8" i="8"/>
  <c r="ML6" i="8" s="1"/>
  <c r="MP8" i="8"/>
  <c r="MP6" i="8" s="1"/>
  <c r="MT8" i="8"/>
  <c r="MT6" i="8" s="1"/>
  <c r="MX8" i="8"/>
  <c r="MX6" i="8" s="1"/>
  <c r="NB8" i="8"/>
  <c r="NB6" i="8" s="1"/>
  <c r="NF8" i="8"/>
  <c r="NF6" i="8" s="1"/>
  <c r="NJ8" i="8"/>
  <c r="NJ6" i="8" s="1"/>
  <c r="AE9" i="8"/>
  <c r="NK19" i="8" l="1" a="1"/>
  <c r="NK19" i="8" s="1"/>
  <c r="NK16" i="8" a="1"/>
  <c r="NK16" i="8" s="1"/>
  <c r="NK23" i="8" a="1"/>
  <c r="NK23" i="8" s="1"/>
  <c r="NK18" i="8" a="1"/>
  <c r="NK18" i="8" s="1"/>
  <c r="NK15" i="8" a="1"/>
  <c r="NK15" i="8" s="1"/>
  <c r="NK22" i="8" a="1"/>
  <c r="NK22" i="8" s="1"/>
  <c r="NK14" i="8" a="1"/>
  <c r="NK14" i="8" s="1"/>
  <c r="NK21" i="8" a="1"/>
  <c r="NK21" i="8" s="1"/>
  <c r="NK13" i="8" a="1"/>
  <c r="NK13" i="8" s="1"/>
  <c r="NK20" i="8" a="1"/>
  <c r="NK20" i="8" s="1"/>
  <c r="NK12" i="8" a="1"/>
  <c r="NK12" i="8" s="1"/>
  <c r="NK17" i="8" a="1"/>
  <c r="NK17" i="8" s="1"/>
  <c r="NK11" i="8" a="1"/>
  <c r="NK11" i="8" s="1"/>
  <c r="NK39" i="8" a="1"/>
  <c r="NK39" i="8" s="1"/>
  <c r="NK29" i="8" a="1"/>
  <c r="NK29" i="8" s="1"/>
  <c r="NK43" i="8" a="1"/>
  <c r="NK43" i="8" s="1"/>
  <c r="NK38" i="8" a="1"/>
  <c r="NK38" i="8" s="1"/>
  <c r="NK40" i="8" a="1"/>
  <c r="NK40" i="8" s="1"/>
  <c r="NK44" i="8" a="1"/>
  <c r="NK44" i="8" s="1"/>
  <c r="NK42" i="8" a="1"/>
  <c r="NK42" i="8" s="1"/>
  <c r="NK41" i="8" a="1"/>
  <c r="NK41" i="8" s="1"/>
  <c r="NK45" i="8" a="1"/>
  <c r="NK45" i="8" s="1"/>
  <c r="NK26" i="8" a="1"/>
  <c r="NK26" i="8" s="1"/>
  <c r="NK30" i="8" a="1"/>
  <c r="NK30" i="8" s="1"/>
  <c r="NK32" i="8" a="1"/>
  <c r="NK32" i="8" s="1"/>
  <c r="NK37" i="8" a="1"/>
  <c r="NK37" i="8" s="1"/>
  <c r="NK35" i="8" a="1"/>
  <c r="NK35" i="8" s="1"/>
  <c r="NK28" i="8" a="1"/>
  <c r="NK28" i="8" s="1"/>
  <c r="NK25" i="8" a="1"/>
  <c r="NK25" i="8" s="1"/>
  <c r="NK34" i="8" a="1"/>
  <c r="NK34" i="8" s="1"/>
  <c r="NK31" i="8" a="1"/>
  <c r="NK31" i="8" s="1"/>
  <c r="NK36" i="8" a="1"/>
  <c r="NK36" i="8" s="1"/>
  <c r="NK33" i="8" a="1"/>
  <c r="NK33" i="8" s="1"/>
  <c r="NK27" i="8" a="1"/>
  <c r="NK27" i="8" s="1"/>
  <c r="NK24" i="8" a="1"/>
  <c r="NK24" i="8" s="1"/>
  <c r="NK10" i="8" a="1"/>
  <c r="NK10" i="8" s="1"/>
  <c r="W9" i="8"/>
  <c r="G9" i="8"/>
  <c r="F9" i="8"/>
  <c r="E9" i="8"/>
  <c r="S9" i="8"/>
  <c r="AG9" i="8"/>
  <c r="AA9" i="8"/>
  <c r="K9" i="8"/>
  <c r="Y9" i="8"/>
  <c r="Z9" i="8"/>
  <c r="J9" i="8"/>
  <c r="M9" i="8"/>
  <c r="X9" i="8"/>
  <c r="H9" i="8"/>
  <c r="Q9" i="8"/>
  <c r="T9" i="8"/>
  <c r="C9" i="8"/>
  <c r="I9" i="8"/>
  <c r="R9" i="8"/>
  <c r="AC9" i="8"/>
  <c r="AF9" i="8"/>
  <c r="P9" i="8"/>
  <c r="V9" i="8"/>
  <c r="D9" i="8"/>
  <c r="O9" i="8"/>
  <c r="AD9" i="8"/>
  <c r="N9" i="8"/>
  <c r="U9" i="8"/>
  <c r="AB9" i="8"/>
  <c r="L9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<sst xmlns="http://schemas.openxmlformats.org/spreadsheetml/2006/main" count="309" uniqueCount="78">
  <si>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</si>
  <si>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</si>
  <si>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</si>
  <si>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</si>
  <si>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</si>
  <si>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</si>
  <si>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</si>
  <si>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</si>
  <si>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</si>
  <si>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</si>
  <si>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</si>
  <si>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</t>
  </si>
  <si>
    <t>Tue</t>
  </si>
  <si>
    <t>Wed</t>
  </si>
  <si>
    <t>Thu</t>
  </si>
  <si>
    <t>Fri</t>
  </si>
  <si>
    <t>Sat</t>
  </si>
  <si>
    <t>Sun</t>
  </si>
  <si>
    <t>Week #</t>
  </si>
  <si>
    <t>January</t>
  </si>
  <si>
    <t>Holiday</t>
  </si>
  <si>
    <t>Date</t>
  </si>
  <si>
    <t>New Year Day</t>
  </si>
  <si>
    <t>Easter</t>
  </si>
  <si>
    <t>Labor Day</t>
  </si>
  <si>
    <t>Thanksgiving Day</t>
  </si>
  <si>
    <t>Christmas Day</t>
  </si>
  <si>
    <t>M</t>
  </si>
  <si>
    <t>Name</t>
  </si>
  <si>
    <t>Select Working Days</t>
  </si>
  <si>
    <t>No</t>
  </si>
  <si>
    <t>Yes</t>
  </si>
  <si>
    <t>Leaves This Month</t>
  </si>
  <si>
    <t>Leaves This Year</t>
  </si>
  <si>
    <t>Leave Breakup</t>
  </si>
  <si>
    <t>H1</t>
  </si>
  <si>
    <t>H2</t>
  </si>
  <si>
    <t>P</t>
  </si>
  <si>
    <t>Leave Name</t>
  </si>
  <si>
    <t>Code</t>
  </si>
  <si>
    <t xml:space="preserve">Family Day </t>
  </si>
  <si>
    <t xml:space="preserve">Good Friday </t>
  </si>
  <si>
    <t xml:space="preserve">Victoria Day </t>
  </si>
  <si>
    <t xml:space="preserve">Canada Day </t>
  </si>
  <si>
    <t xml:space="preserve">Civic Holiday </t>
  </si>
  <si>
    <t xml:space="preserve">Remembrance Day </t>
  </si>
  <si>
    <t xml:space="preserve">Boxing Day </t>
  </si>
  <si>
    <t>Leave Tracker</t>
  </si>
  <si>
    <t xml:space="preserve">National Day for Truth and Reconciliation </t>
  </si>
  <si>
    <t>Time Off</t>
  </si>
  <si>
    <t xml:space="preserve">Time in Lieu </t>
  </si>
  <si>
    <t>L</t>
  </si>
  <si>
    <t>Half Day Morning</t>
  </si>
  <si>
    <t>Half Day Noon</t>
  </si>
  <si>
    <t>Time Off Prior Year</t>
  </si>
  <si>
    <t>Maternity</t>
  </si>
  <si>
    <t>Paternity</t>
  </si>
  <si>
    <t>O</t>
  </si>
  <si>
    <t>OY</t>
  </si>
  <si>
    <t>V</t>
  </si>
  <si>
    <t>Stat coverage</t>
  </si>
  <si>
    <t>S</t>
  </si>
  <si>
    <t>Vacant Manager</t>
  </si>
  <si>
    <t>Vacant Analyst</t>
  </si>
  <si>
    <t>status</t>
  </si>
  <si>
    <t>Vacant</t>
  </si>
  <si>
    <t>Status</t>
  </si>
  <si>
    <t xml:space="preserve">Status </t>
  </si>
  <si>
    <t xml:space="preserve">3 gone = red 33% </t>
  </si>
  <si>
    <t xml:space="preserve">3 sets of statuses between chec k/ draft team </t>
  </si>
  <si>
    <t>new person - .replace vacant spot</t>
  </si>
  <si>
    <t xml:space="preserve">not yet trained ,T </t>
  </si>
  <si>
    <t>Value</t>
  </si>
  <si>
    <t>Director</t>
  </si>
  <si>
    <t xml:space="preserve">employee </t>
  </si>
  <si>
    <t xml:space="preserve">status </t>
  </si>
  <si>
    <t>Senior manager</t>
  </si>
  <si>
    <t xml:space="preserve">Senior Managers Status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</si>
</sst>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"/>
    <numFmt numFmtId="165" formatCode=";;;"/>
    <numFmt numFmtId="166" formatCode="dd\ mmm\,\ yyyy"/>
    <numFmt numFmtId="167" formatCode="General;General;"/>
  </numFmts>
  <fonts count="2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i/>
      <sz val="9"/>
      <color theme="3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b/>
      <sz val="8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Calibri"/>
      <family val="2"/>
      <scheme val="minor"/>
    </font>
    <font>
      <b/>
      <i/>
      <sz val="9"/>
      <color rgb="FF333333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333333"/>
      <name val="Calibri"/>
      <family val="2"/>
      <scheme val="minor"/>
    </font>
    <font>
      <sz val="8"/>
      <color rgb="FFFFFFFF"/>
      <name val="Calibri"/>
      <family val="2"/>
      <scheme val="minor"/>
    </font>
    <font>
      <sz val="8"/>
      <color theme="6" tint="0.79998168889431442"/>
      <name val="Calibri"/>
      <family val="2"/>
      <scheme val="minor"/>
    </font>
    <font>
      <sz val="10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2" tint="0.39997558519241921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04148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8C92"/>
        <bgColor indexed="64"/>
      </patternFill>
    </fill>
    <fill>
      <patternFill patternType="solid">
        <fgColor theme="0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3" fillId="2" borderId="1" xfId="0" applyFont="1" applyFill="1" applyBorder="1"/>
    <xf numFmtId="0" fontId="2" fillId="0" borderId="0" xfId="0" applyFont="1" applyBorder="1" applyAlignment="1">
      <alignment horizontal="center" vertical="center"/>
    </xf>
    <xf numFmtId="14" fontId="0" fillId="0" borderId="0" xfId="0" applyNumberFormat="1"/>
    <xf numFmtId="164" fontId="1" fillId="2" borderId="1" xfId="0" applyNumberFormat="1" applyFont="1" applyFill="1" applyBorder="1" applyAlignment="1">
      <alignment horizontal="center" vertical="center"/>
    </xf>
    <xf numFmtId="15" fontId="0" fillId="0" borderId="0" xfId="0" applyNumberFormat="1"/>
    <xf numFmtId="16" fontId="1" fillId="2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5" fontId="2" fillId="0" borderId="0" xfId="0" applyNumberFormat="1" applyFont="1" applyBorder="1"/>
    <xf numFmtId="0" fontId="0" fillId="0" borderId="4" xfId="0" applyBorder="1"/>
    <xf numFmtId="0" fontId="8" fillId="7" borderId="4" xfId="0" applyFont="1" applyFill="1" applyBorder="1" applyAlignment="1">
      <alignment horizontal="centerContinuous"/>
    </xf>
    <xf numFmtId="0" fontId="0" fillId="8" borderId="1" xfId="0" applyFill="1" applyBorder="1" applyAlignment="1">
      <alignment horizontal="center"/>
    </xf>
    <xf numFmtId="0" fontId="9" fillId="0" borderId="0" xfId="0" applyFont="1" applyAlignment="1">
      <alignment horizontal="left" indent="1"/>
    </xf>
    <xf numFmtId="1" fontId="1" fillId="3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6" borderId="1" xfId="0" applyFill="1" applyBorder="1"/>
    <xf numFmtId="0" fontId="10" fillId="3" borderId="1" xfId="0" applyFont="1" applyFill="1" applyBorder="1" applyAlignment="1">
      <alignment horizontal="center"/>
    </xf>
    <xf numFmtId="0" fontId="11" fillId="2" borderId="1" xfId="0" applyFont="1" applyFill="1" applyBorder="1"/>
    <xf numFmtId="164" fontId="12" fillId="2" borderId="1" xfId="0" applyNumberFormat="1" applyFont="1" applyFill="1" applyBorder="1" applyAlignment="1">
      <alignment horizontal="center" vertical="center"/>
    </xf>
    <xf numFmtId="16" fontId="12" fillId="2" borderId="1" xfId="0" applyNumberFormat="1" applyFont="1" applyFill="1" applyBorder="1" applyAlignment="1">
      <alignment horizontal="center" vertical="center"/>
    </xf>
    <xf numFmtId="0" fontId="13" fillId="0" borderId="1" xfId="0" applyFont="1" applyBorder="1"/>
    <xf numFmtId="166" fontId="13" fillId="0" borderId="1" xfId="0" applyNumberFormat="1" applyFont="1" applyBorder="1"/>
    <xf numFmtId="0" fontId="7" fillId="0" borderId="1" xfId="0" applyFont="1" applyBorder="1"/>
    <xf numFmtId="166" fontId="7" fillId="0" borderId="1" xfId="0" applyNumberFormat="1" applyFont="1" applyBorder="1"/>
    <xf numFmtId="0" fontId="14" fillId="0" borderId="1" xfId="0" applyFont="1" applyFill="1" applyBorder="1"/>
    <xf numFmtId="0" fontId="15" fillId="0" borderId="0" xfId="0" applyFont="1"/>
    <xf numFmtId="0" fontId="16" fillId="0" borderId="1" xfId="0" applyFont="1" applyBorder="1"/>
    <xf numFmtId="166" fontId="16" fillId="0" borderId="1" xfId="0" applyNumberFormat="1" applyFont="1" applyBorder="1"/>
    <xf numFmtId="0" fontId="18" fillId="10" borderId="1" xfId="0" applyFont="1" applyFill="1" applyBorder="1"/>
    <xf numFmtId="0" fontId="18" fillId="10" borderId="1" xfId="0" applyFont="1" applyFill="1" applyBorder="1" applyAlignment="1">
      <alignment horizontal="center"/>
    </xf>
    <xf numFmtId="167" fontId="0" fillId="0" borderId="1" xfId="0" applyNumberFormat="1" applyFill="1" applyBorder="1" applyAlignment="1">
      <alignment horizontal="center"/>
    </xf>
    <xf numFmtId="0" fontId="7" fillId="9" borderId="1" xfId="0" applyFont="1" applyFill="1" applyBorder="1"/>
    <xf numFmtId="0" fontId="7" fillId="9" borderId="1" xfId="0" applyFont="1" applyFill="1" applyBorder="1" applyAlignment="1">
      <alignment horizontal="center"/>
    </xf>
    <xf numFmtId="14" fontId="7" fillId="11" borderId="1" xfId="0" applyNumberFormat="1" applyFont="1" applyFill="1" applyBorder="1"/>
    <xf numFmtId="0" fontId="7" fillId="11" borderId="1" xfId="0" applyFont="1" applyFill="1" applyBorder="1" applyAlignment="1">
      <alignment horizontal="center"/>
    </xf>
    <xf numFmtId="14" fontId="7" fillId="12" borderId="1" xfId="0" applyNumberFormat="1" applyFont="1" applyFill="1" applyBorder="1"/>
    <xf numFmtId="0" fontId="7" fillId="12" borderId="1" xfId="0" applyFont="1" applyFill="1" applyBorder="1" applyAlignment="1">
      <alignment horizontal="center"/>
    </xf>
    <xf numFmtId="14" fontId="7" fillId="13" borderId="1" xfId="0" applyNumberFormat="1" applyFont="1" applyFill="1" applyBorder="1"/>
    <xf numFmtId="0" fontId="7" fillId="13" borderId="1" xfId="0" applyFont="1" applyFill="1" applyBorder="1" applyAlignment="1">
      <alignment horizontal="center"/>
    </xf>
    <xf numFmtId="14" fontId="7" fillId="14" borderId="1" xfId="0" applyNumberFormat="1" applyFont="1" applyFill="1" applyBorder="1"/>
    <xf numFmtId="0" fontId="7" fillId="14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0" fillId="0" borderId="0" xfId="0" applyFont="1"/>
    <xf numFmtId="0" fontId="21" fillId="0" borderId="0" xfId="0" applyFont="1"/>
    <xf numFmtId="0" fontId="1" fillId="0" borderId="0" xfId="0" applyFont="1"/>
    <xf numFmtId="0" fontId="22" fillId="16" borderId="1" xfId="0" applyFont="1" applyFill="1" applyBorder="1"/>
    <xf numFmtId="0" fontId="22" fillId="0" borderId="1" xfId="0" applyFont="1" applyBorder="1"/>
    <xf numFmtId="0" fontId="1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4" fillId="0" borderId="1" xfId="0" applyFont="1" applyFill="1" applyBorder="1"/>
    <xf numFmtId="0" fontId="25" fillId="0" borderId="1" xfId="0" applyFont="1" applyFill="1" applyBorder="1"/>
    <xf numFmtId="0" fontId="23" fillId="10" borderId="1" xfId="0" applyFont="1" applyFill="1" applyBorder="1" applyAlignment="1">
      <alignment horizontal="center"/>
    </xf>
    <xf numFmtId="0" fontId="23" fillId="0" borderId="1" xfId="0" applyFont="1" applyFill="1" applyBorder="1"/>
    <xf numFmtId="0" fontId="23" fillId="10" borderId="1" xfId="0" applyFont="1" applyFill="1" applyBorder="1"/>
    <xf numFmtId="0" fontId="26" fillId="0" borderId="1" xfId="0" applyFont="1" applyBorder="1"/>
    <xf numFmtId="0" fontId="7" fillId="0" borderId="1" xfId="0" applyFont="1" applyBorder="1" applyAlignment="1">
      <alignment horizontal="right"/>
    </xf>
    <xf numFmtId="0" fontId="7" fillId="9" borderId="9" xfId="0" applyFont="1" applyFill="1" applyBorder="1"/>
    <xf numFmtId="0" fontId="7" fillId="9" borderId="9" xfId="0" applyFont="1" applyFill="1" applyBorder="1" applyAlignment="1">
      <alignment horizontal="center"/>
    </xf>
    <xf numFmtId="14" fontId="7" fillId="0" borderId="1" xfId="0" applyNumberFormat="1" applyFont="1" applyFill="1" applyBorder="1"/>
    <xf numFmtId="0" fontId="7" fillId="0" borderId="1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0" fillId="14" borderId="1" xfId="0" applyFill="1" applyBorder="1" applyAlignment="1">
      <alignment horizontal="center" vertical="center"/>
    </xf>
    <xf numFmtId="0" fontId="18" fillId="10" borderId="0" xfId="0" applyFont="1" applyFill="1"/>
    <xf numFmtId="14" fontId="7" fillId="17" borderId="1" xfId="0" applyNumberFormat="1" applyFont="1" applyFill="1" applyBorder="1"/>
    <xf numFmtId="0" fontId="0" fillId="17" borderId="1" xfId="0" applyFill="1" applyBorder="1" applyAlignment="1">
      <alignment horizontal="center"/>
    </xf>
    <xf numFmtId="0" fontId="18" fillId="18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right"/>
    </xf>
    <xf numFmtId="0" fontId="7" fillId="17" borderId="1" xfId="0" applyFont="1" applyFill="1" applyBorder="1" applyAlignment="1">
      <alignment horizontal="center"/>
    </xf>
    <xf numFmtId="0" fontId="23" fillId="18" borderId="1" xfId="0" applyFont="1" applyFill="1" applyBorder="1" applyAlignment="1">
      <alignment horizontal="center"/>
    </xf>
    <xf numFmtId="0" fontId="23" fillId="9" borderId="1" xfId="0" applyFont="1" applyFill="1" applyBorder="1" applyAlignment="1">
      <alignment horizontal="center"/>
    </xf>
    <xf numFmtId="0" fontId="10" fillId="19" borderId="1" xfId="0" applyFont="1" applyFill="1" applyBorder="1"/>
    <xf numFmtId="0" fontId="4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19" fillId="15" borderId="9" xfId="0" applyFont="1" applyFill="1" applyBorder="1" applyAlignment="1">
      <alignment horizontal="center" vertical="center" wrapText="1"/>
    </xf>
    <xf numFmtId="0" fontId="19" fillId="15" borderId="5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424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/>
        <i val="0"/>
        <color theme="5"/>
      </font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0000"/>
      </font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FF0000"/>
      </font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5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6" formatCode="dd\ mmm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3FFFF"/>
      <color rgb="FFFFFFFF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347</xdr:col>
      <xdr:colOff>44025</xdr:colOff>
      <xdr:row>4</xdr:row>
      <xdr:rowOff>73026</xdr:rowOff>
    </xdr:from>
    <xdr:to>
      <xdr:col>356</xdr:col>
      <xdr:colOff>216710</xdr:colOff>
      <xdr:row>4</xdr:row>
      <xdr:rowOff>390526</xdr:rowOff>
    </xdr:to>
    <xdr:sp macro="" textlink="$D$4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63266" y="546101"/>
          <a:ext cx="2544669" cy="307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0EC23-3F5D-4676-BA9D-8CFBD1AB97E7}" type="TxLink">
            <a:rPr lang="en-US" sz="1400" b="0" i="1" u="none" strike="noStrike">
              <a:solidFill>
                <a:srgbClr val="333333"/>
              </a:solidFill>
              <a:latin typeface="Calibri"/>
              <a:cs typeface="Calibri"/>
            </a:rPr>
            <a:pPr algn="ctr"/>
            <a:t>December 2022</a:t>
          </a:fld>
          <a:endParaRPr lang="en-US" sz="32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356</xdr:col>
      <xdr:colOff>135000</xdr:colOff>
      <xdr:row>2</xdr:row>
      <xdr:rowOff>0</xdr:rowOff>
    </xdr:from>
    <xdr:to>
      <xdr:col>358</xdr:col>
      <xdr:colOff>65151</xdr:colOff>
      <xdr:row>4</xdr:row>
      <xdr:rowOff>445453</xdr:rowOff>
    </xdr:to>
    <xdr:pic macro="[0]!NextMonth">
      <xdr:nvPicPr>
        <xdr:cNvPr id="7" name="Graphic 6" descr="Play">
          <a:extLst>
            <a:ext uri="{FF2B5EF4-FFF2-40B4-BE49-F238E27FC236}">
              <a16:creationId xmlns:a16="http://schemas.microsoft.com/office/drawing/2014/main" id="{4E016A8C-AB25-497C-8B50-83705B707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19100"/>
        </a:xfrm>
        <a:prstGeom prst="rect">
          <a:avLst/>
        </a:prstGeom>
      </xdr:spPr>
    </xdr:pic>
    <xdr:clientData/>
  </xdr:twoCellAnchor>
  <xdr:twoCellAnchor editAs="absolute">
    <xdr:from>
      <xdr:col>346</xdr:col>
      <xdr:colOff>33660</xdr:colOff>
      <xdr:row>2</xdr:row>
      <xdr:rowOff>0</xdr:rowOff>
    </xdr:from>
    <xdr:to>
      <xdr:col>347</xdr:col>
      <xdr:colOff>188976</xdr:colOff>
      <xdr:row>4</xdr:row>
      <xdr:rowOff>445453</xdr:rowOff>
    </xdr:to>
    <xdr:pic macro="[0]!PreviousMonth">
      <xdr:nvPicPr>
        <xdr:cNvPr id="9" name="Graphic 8" descr="Play">
          <a:extLst>
            <a:ext uri="{FF2B5EF4-FFF2-40B4-BE49-F238E27FC236}">
              <a16:creationId xmlns:a16="http://schemas.microsoft.com/office/drawing/2014/main" id="{831E49F6-402C-4EC9-BA26-23C4CD2B9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37</xdr:col>
      <xdr:colOff>16716</xdr:colOff>
      <xdr:row>4</xdr:row>
      <xdr:rowOff>123826</xdr:rowOff>
    </xdr:from>
    <xdr:to>
      <xdr:col>46</xdr:col>
      <xdr:colOff>199185</xdr:colOff>
      <xdr:row>4</xdr:row>
      <xdr:rowOff>444501</xdr:rowOff>
    </xdr:to>
    <xdr:sp macro="" textlink="$E$4">
      <xdr:nvSpPr>
        <xdr:cNvPr id="2" name="Rectangle 1">
          <a:extLst>
            <a:ext uri="{FF2B5EF4-FFF2-40B4-BE49-F238E27FC236}">
              <a16:creationId xmlns:a16="http://schemas.microsoft.com/office/drawing/2014/main" id="{6D44CF4D-24E4-48CC-B364-1E10A51B4EF2}"/>
            </a:ext>
          </a:extLst>
        </xdr:cNvPr>
        <xdr:cNvSpPr/>
      </xdr:nvSpPr>
      <xdr:spPr>
        <a:xfrm>
          <a:off x="4175966" y="539751"/>
          <a:ext cx="2544669" cy="307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E87394-1C3F-4ED3-982E-5005BD93B68A}" type="TxLink">
            <a:rPr lang="en-US" sz="1100" b="0" i="1" u="none" strike="noStrike">
              <a:solidFill>
                <a:srgbClr val="333333"/>
              </a:solidFill>
              <a:latin typeface="Calibri"/>
              <a:cs typeface="Calibri"/>
            </a:rPr>
            <a:pPr algn="ctr"/>
            <a:t>February 2023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46</xdr:col>
      <xdr:colOff>117475</xdr:colOff>
      <xdr:row>4</xdr:row>
      <xdr:rowOff>71438</xdr:rowOff>
    </xdr:from>
    <xdr:to>
      <xdr:col>48</xdr:col>
      <xdr:colOff>25400</xdr:colOff>
      <xdr:row>4</xdr:row>
      <xdr:rowOff>499428</xdr:rowOff>
    </xdr:to>
    <xdr:pic macro="[0]!NextMonth">
      <xdr:nvPicPr>
        <xdr:cNvPr id="5" name="Graphic 4" descr="Play">
          <a:extLst>
            <a:ext uri="{FF2B5EF4-FFF2-40B4-BE49-F238E27FC236}">
              <a16:creationId xmlns:a16="http://schemas.microsoft.com/office/drawing/2014/main" id="{5A8062CF-5FA9-439B-9A3F-90F370E0B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16700" y="487363"/>
          <a:ext cx="431800" cy="418465"/>
        </a:xfrm>
        <a:prstGeom prst="rect">
          <a:avLst/>
        </a:prstGeom>
      </xdr:spPr>
    </xdr:pic>
    <xdr:clientData/>
  </xdr:twoCellAnchor>
  <xdr:twoCellAnchor editAs="absolute">
    <xdr:from>
      <xdr:col>35</xdr:col>
      <xdr:colOff>238125</xdr:colOff>
      <xdr:row>4</xdr:row>
      <xdr:rowOff>71438</xdr:rowOff>
    </xdr:from>
    <xdr:to>
      <xdr:col>37</xdr:col>
      <xdr:colOff>161925</xdr:colOff>
      <xdr:row>4</xdr:row>
      <xdr:rowOff>499428</xdr:rowOff>
    </xdr:to>
    <xdr:pic macro="[0]!PreviousMonth">
      <xdr:nvPicPr>
        <xdr:cNvPr id="6" name="Graphic 5" descr="Play">
          <a:extLst>
            <a:ext uri="{FF2B5EF4-FFF2-40B4-BE49-F238E27FC236}">
              <a16:creationId xmlns:a16="http://schemas.microsoft.com/office/drawing/2014/main" id="{C818CC8F-4500-4405-B692-236A03204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895725" y="487363"/>
          <a:ext cx="444500" cy="4184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207216</xdr:colOff>
      <xdr:row>4</xdr:row>
      <xdr:rowOff>123826</xdr:rowOff>
    </xdr:from>
    <xdr:to>
      <xdr:col>16</xdr:col>
      <xdr:colOff>148385</xdr:colOff>
      <xdr:row>4</xdr:row>
      <xdr:rowOff>444501</xdr:rowOff>
    </xdr:to>
    <xdr:sp macro="" textlink="$E$4">
      <xdr:nvSpPr>
        <xdr:cNvPr id="2" name="Rectangle 1">
          <a:extLst>
            <a:ext uri="{FF2B5EF4-FFF2-40B4-BE49-F238E27FC236}">
              <a16:creationId xmlns:a16="http://schemas.microsoft.com/office/drawing/2014/main" id="{5E73C9F0-AE37-4ACF-A35B-0E33D49A846B}"/>
            </a:ext>
          </a:extLst>
        </xdr:cNvPr>
        <xdr:cNvSpPr/>
      </xdr:nvSpPr>
      <xdr:spPr>
        <a:xfrm>
          <a:off x="3982291" y="552451"/>
          <a:ext cx="2417669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838059C-C14C-4357-AB22-B14004003937}" type="TxLink">
            <a:rPr lang="en-US" sz="1100" b="0" i="1" u="none" strike="noStrike">
              <a:solidFill>
                <a:srgbClr val="333333"/>
              </a:solidFill>
              <a:latin typeface="Calibri"/>
              <a:cs typeface="Calibri"/>
            </a:rPr>
            <a:pPr algn="ctr"/>
            <a:t>January 2024</a:t>
          </a:fld>
          <a:endParaRPr lang="en-US" sz="2400" b="1" i="1" u="sng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absolute">
    <xdr:from>
      <xdr:col>16</xdr:col>
      <xdr:colOff>66675</xdr:colOff>
      <xdr:row>4</xdr:row>
      <xdr:rowOff>71438</xdr:rowOff>
    </xdr:from>
    <xdr:to>
      <xdr:col>17</xdr:col>
      <xdr:colOff>215900</xdr:colOff>
      <xdr:row>4</xdr:row>
      <xdr:rowOff>499428</xdr:rowOff>
    </xdr:to>
    <xdr:pic macro="[0]!NextMonth">
      <xdr:nvPicPr>
        <xdr:cNvPr id="5" name="Graphic 4" descr="Play">
          <a:extLst>
            <a:ext uri="{FF2B5EF4-FFF2-40B4-BE49-F238E27FC236}">
              <a16:creationId xmlns:a16="http://schemas.microsoft.com/office/drawing/2014/main" id="{75C3D9A9-4050-4A12-A5A5-F7D1F35DF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96025" y="500063"/>
          <a:ext cx="419100" cy="424815"/>
        </a:xfrm>
        <a:prstGeom prst="rect">
          <a:avLst/>
        </a:prstGeom>
      </xdr:spPr>
    </xdr:pic>
    <xdr:clientData/>
  </xdr:twoCellAnchor>
  <xdr:twoCellAnchor editAs="absolute">
    <xdr:from>
      <xdr:col>5</xdr:col>
      <xdr:colOff>187325</xdr:colOff>
      <xdr:row>4</xdr:row>
      <xdr:rowOff>71438</xdr:rowOff>
    </xdr:from>
    <xdr:to>
      <xdr:col>7</xdr:col>
      <xdr:colOff>111125</xdr:colOff>
      <xdr:row>4</xdr:row>
      <xdr:rowOff>499428</xdr:rowOff>
    </xdr:to>
    <xdr:pic macro="[0]!PreviousMonth">
      <xdr:nvPicPr>
        <xdr:cNvPr id="6" name="Graphic 5" descr="Play">
          <a:extLst>
            <a:ext uri="{FF2B5EF4-FFF2-40B4-BE49-F238E27FC236}">
              <a16:creationId xmlns:a16="http://schemas.microsoft.com/office/drawing/2014/main" id="{A83442D2-E22E-4CAF-8375-B8ED7A99A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3714750" y="500063"/>
          <a:ext cx="419100" cy="42481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lidayList" displayName="HolidayList" ref="A1:B41" totalsRowShown="0" headerRowDxfId="4243" headerRowBorderDxfId="4242" tableBorderDxfId="4241" totalsRowBorderDxfId="4240">
  <autoFilter ref="A1:B41" xr:uid="{00000000-0009-0000-0100-000001000000}"/>
  <sortState xmlns:xlrd2="http://schemas.microsoft.com/office/spreadsheetml/2017/richdata2" ref="A2:B41">
    <sortCondition ref="B1:B41"/>
  </sortState>
  <tableColumns count="2">
    <tableColumn id="1" xr3:uid="{00000000-0010-0000-0000-000001000000}" name="Holiday" dataDxfId="4239"/>
    <tableColumn id="2" xr3:uid="{00000000-0010-0000-0000-000002000000}" name="Date" dataDxfId="42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cotia 1">
      <a:dk1>
        <a:srgbClr val="333333"/>
      </a:dk1>
      <a:lt1>
        <a:srgbClr val="5C5C5C"/>
      </a:lt1>
      <a:dk2>
        <a:srgbClr val="EC111A"/>
      </a:dk2>
      <a:lt2>
        <a:srgbClr val="F04148"/>
      </a:lt2>
      <a:accent1>
        <a:srgbClr val="767676"/>
      </a:accent1>
      <a:accent2>
        <a:srgbClr val="F47076"/>
      </a:accent2>
      <a:accent3>
        <a:srgbClr val="ADADAD"/>
      </a:accent3>
      <a:accent4>
        <a:srgbClr val="F7A0A3"/>
      </a:accent4>
      <a:accent5>
        <a:srgbClr val="D6D6D6"/>
      </a:accent5>
      <a:accent6>
        <a:srgbClr val="FBCFD1"/>
      </a:accent6>
      <a:hlink>
        <a:srgbClr val="FFFFFF"/>
      </a:hlink>
      <a:folHlink>
        <a:srgbClr val="FFFFFF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aveTracker"/>
  <dimension ref="A1:ACH45"/>
  <sheetViews>
    <sheetView showGridLines="0" tabSelected="1" showWhiteSpace="0" zoomScale="76" zoomScaleNormal="100" zoomScaleSheetLayoutView="100" workbookViewId="0">
      <pane xSplit="2" ySplit="9" topLeftCell="MJ10" activePane="bottomRight" state="frozen"/>
      <selection pane="topRight" activeCell="B1" sqref="B1"/>
      <selection pane="bottomLeft" activeCell="A8" sqref="A8"/>
      <selection pane="bottomRight" activeCell="MW5" sqref="MW5"/>
    </sheetView>
  </sheetViews>
  <sheetFormatPr defaultColWidth="8.81640625" defaultRowHeight="14.5" x14ac:dyDescent="0.35"/>
  <cols>
    <col min="2" max="2" width="31.1796875" bestFit="1" customWidth="1"/>
    <col min="3" max="3" width="4.1796875" hidden="1" customWidth="1"/>
    <col min="4" max="342" width="3.453125" hidden="1" customWidth="1"/>
    <col min="343" max="373" width="3.453125" customWidth="1"/>
    <col min="374" max="374" width="3.453125" hidden="1" customWidth="1"/>
    <col min="375" max="375" width="9.453125" customWidth="1"/>
    <col min="376" max="376" width="8.453125" customWidth="1"/>
    <col min="377" max="386" width="3.453125" customWidth="1"/>
    <col min="387" max="387" width="3" customWidth="1"/>
    <col min="388" max="388" width="14.453125" bestFit="1" customWidth="1"/>
    <col min="389" max="389" width="10.1796875" bestFit="1" customWidth="1"/>
  </cols>
  <sheetData>
    <row r="1" spans="1:762" ht="23.5" x14ac:dyDescent="0.55000000000000004">
      <c r="B1" s="50"/>
      <c r="C1" s="33"/>
    </row>
    <row r="2" spans="1:762" x14ac:dyDescent="0.35">
      <c r="B2" s="51" t="s">
        <v>47</v>
      </c>
    </row>
    <row r="3" spans="1:762" ht="15.5" hidden="1" x14ac:dyDescent="0.35">
      <c r="B3" s="10">
        <v>1</v>
      </c>
      <c r="C3" s="20"/>
    </row>
    <row r="4" spans="1:762" ht="15.5" hidden="1" x14ac:dyDescent="0.35">
      <c r="B4" s="10">
        <v>2022</v>
      </c>
      <c r="C4" s="20"/>
      <c r="D4" s="16" t="str">
        <f>TEXT(DATE(B4,B5,1),"mmmm yyyy")</f>
        <v>December 2022</v>
      </c>
    </row>
    <row r="5" spans="1:762" ht="41.25" customHeight="1" x14ac:dyDescent="0.35">
      <c r="B5" s="13">
        <v>12</v>
      </c>
      <c r="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A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A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B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B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C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C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D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D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E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E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F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F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G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G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H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H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I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I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J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J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K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K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L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L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M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M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N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N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N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1</v>
      </c>
      <c r="N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N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AND(NOT(ISNUMBER(MATCH(DATE($B$4,INT((COLUMN()-1)/31.001)+$B$3,ROUNDUP(MOD(COLUMN()-1,31.001),0)),HolidayList[Date],0))),(VLOOKUP(VLOOKUP(WEEKDAY(DATE($B$4,INT((COLUMN()-1)/31.001)+$B$3,ROUNDUP(MOD(COLUMN()-1,31.001),0)),2),Sheet3!$D$1:$E$7,2,0),$NX$25:$NY$32,2,0)="Yes"))</f>
        <v>0</v>
      </c>
      <c r="NK5" s="3"/>
      <c r="NL5" s="3"/>
      <c r="NM5" s="3"/>
      <c r="NN5" s="3"/>
      <c r="NO5" s="3"/>
      <c r="NP5" s="3"/>
      <c r="NQ5" s="3"/>
      <c r="NR5" s="3"/>
      <c r="NS5" s="3"/>
      <c r="NW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</row>
    <row r="6" spans="1:762" x14ac:dyDescent="0.35">
      <c r="B6" s="5"/>
      <c r="C6" s="16" t="b">
        <f>IFERROR(IF(AND(VLOOKUP(C8,$NX$25:$NY$32,2,0)="Yes",NOT(ISNUMBER(VLOOKUP(DATE($B$4,$B$5+$B$3-1,C7),HolidayList[Date],1,0)))),TRUE,FALSE),FALSE)</f>
        <v>0</v>
      </c>
      <c r="D6" s="16" t="b">
        <f>IFERROR(IF(AND(VLOOKUP(D8,$NX$25:$NY$32,2,0)="Yes",NOT(ISNUMBER(VLOOKUP(DATE($B$4,$B$5+$B$3-1,D7),HolidayList[Date],1,0)))),TRUE,FALSE),FALSE)</f>
        <v>0</v>
      </c>
      <c r="E6" s="16" t="b">
        <f>IFERROR(IF(AND(VLOOKUP(E8,$NX$25:$NY$32,2,0)="Yes",NOT(ISNUMBER(VLOOKUP(DATE($B$4,$B$5+$B$3-1,E7),HolidayList[Date],1,0)))),TRUE,FALSE),FALSE)</f>
        <v>0</v>
      </c>
      <c r="F6" s="16" t="b">
        <f>IFERROR(IF(AND(VLOOKUP(F8,$NX$25:$NY$32,2,0)="Yes",NOT(ISNUMBER(VLOOKUP(DATE($B$4,$B$5+$B$3-1,F7),HolidayList[Date],1,0)))),TRUE,FALSE),FALSE)</f>
        <v>0</v>
      </c>
      <c r="G6" s="16" t="b">
        <f>IFERROR(IF(AND(VLOOKUP(G8,$NX$25:$NY$32,2,0)="Yes",NOT(ISNUMBER(VLOOKUP(DATE($B$4,$B$5+$B$3-1,G7),HolidayList[Date],1,0)))),TRUE,FALSE),FALSE)</f>
        <v>0</v>
      </c>
      <c r="H6" s="16" t="b">
        <f>IFERROR(IF(AND(VLOOKUP(H8,$NX$25:$NY$32,2,0)="Yes",NOT(ISNUMBER(VLOOKUP(DATE($B$4,$B$5+$B$3-1,H7),HolidayList[Date],1,0)))),TRUE,FALSE),FALSE)</f>
        <v>0</v>
      </c>
      <c r="I6" s="16" t="b">
        <f>IFERROR(IF(AND(VLOOKUP(I8,$NX$25:$NY$32,2,0)="Yes",NOT(ISNUMBER(VLOOKUP(DATE($B$4,$B$5+$B$3-1,I7),HolidayList[Date],1,0)))),TRUE,FALSE),FALSE)</f>
        <v>0</v>
      </c>
      <c r="J6" s="16" t="b">
        <f>IFERROR(IF(AND(VLOOKUP(J8,$NX$25:$NY$32,2,0)="Yes",NOT(ISNUMBER(VLOOKUP(DATE($B$4,$B$5+$B$3-1,J7),HolidayList[Date],1,0)))),TRUE,FALSE),FALSE)</f>
        <v>0</v>
      </c>
      <c r="K6" s="16" t="b">
        <f>IFERROR(IF(AND(VLOOKUP(K8,$NX$25:$NY$32,2,0)="Yes",NOT(ISNUMBER(VLOOKUP(DATE($B$4,$B$5+$B$3-1,K7),HolidayList[Date],1,0)))),TRUE,FALSE),FALSE)</f>
        <v>0</v>
      </c>
      <c r="L6" s="16" t="b">
        <f>IFERROR(IF(AND(VLOOKUP(L8,$NX$25:$NY$32,2,0)="Yes",NOT(ISNUMBER(VLOOKUP(DATE($B$4,$B$5+$B$3-1,L7),HolidayList[Date],1,0)))),TRUE,FALSE),FALSE)</f>
        <v>0</v>
      </c>
      <c r="M6" s="16" t="b">
        <f>IFERROR(IF(AND(VLOOKUP(M8,$NX$25:$NY$32,2,0)="Yes",NOT(ISNUMBER(VLOOKUP(DATE($B$4,$B$5+$B$3-1,M7),HolidayList[Date],1,0)))),TRUE,FALSE),FALSE)</f>
        <v>0</v>
      </c>
      <c r="N6" s="16" t="b">
        <f>IFERROR(IF(AND(VLOOKUP(N8,$NX$25:$NY$32,2,0)="Yes",NOT(ISNUMBER(VLOOKUP(DATE($B$4,$B$5+$B$3-1,N7),HolidayList[Date],1,0)))),TRUE,FALSE),FALSE)</f>
        <v>0</v>
      </c>
      <c r="O6" s="16" t="b">
        <f>IFERROR(IF(AND(VLOOKUP(O8,$NX$25:$NY$32,2,0)="Yes",NOT(ISNUMBER(VLOOKUP(DATE($B$4,$B$5+$B$3-1,O7),HolidayList[Date],1,0)))),TRUE,FALSE),FALSE)</f>
        <v>0</v>
      </c>
      <c r="P6" s="16" t="b">
        <f>IFERROR(IF(AND(VLOOKUP(P8,$NX$25:$NY$32,2,0)="Yes",NOT(ISNUMBER(VLOOKUP(DATE($B$4,$B$5+$B$3-1,P7),HolidayList[Date],1,0)))),TRUE,FALSE),FALSE)</f>
        <v>0</v>
      </c>
      <c r="Q6" s="16" t="b">
        <f>IFERROR(IF(AND(VLOOKUP(Q8,$NX$25:$NY$32,2,0)="Yes",NOT(ISNUMBER(VLOOKUP(DATE($B$4,$B$5+$B$3-1,Q7),HolidayList[Date],1,0)))),TRUE,FALSE),FALSE)</f>
        <v>0</v>
      </c>
      <c r="R6" s="16" t="b">
        <f>IFERROR(IF(AND(VLOOKUP(R8,$NX$25:$NY$32,2,0)="Yes",NOT(ISNUMBER(VLOOKUP(DATE($B$4,$B$5+$B$3-1,R7),HolidayList[Date],1,0)))),TRUE,FALSE),FALSE)</f>
        <v>0</v>
      </c>
      <c r="S6" s="16" t="b">
        <f>IFERROR(IF(AND(VLOOKUP(S8,$NX$25:$NY$32,2,0)="Yes",NOT(ISNUMBER(VLOOKUP(DATE($B$4,$B$5+$B$3-1,S7),HolidayList[Date],1,0)))),TRUE,FALSE),FALSE)</f>
        <v>0</v>
      </c>
      <c r="T6" s="16" t="b">
        <f>IFERROR(IF(AND(VLOOKUP(T8,$NX$25:$NY$32,2,0)="Yes",NOT(ISNUMBER(VLOOKUP(DATE($B$4,$B$5+$B$3-1,T7),HolidayList[Date],1,0)))),TRUE,FALSE),FALSE)</f>
        <v>0</v>
      </c>
      <c r="U6" s="16" t="b">
        <f>IFERROR(IF(AND(VLOOKUP(U8,$NX$25:$NY$32,2,0)="Yes",NOT(ISNUMBER(VLOOKUP(DATE($B$4,$B$5+$B$3-1,U7),HolidayList[Date],1,0)))),TRUE,FALSE),FALSE)</f>
        <v>0</v>
      </c>
      <c r="V6" s="16" t="b">
        <f>IFERROR(IF(AND(VLOOKUP(V8,$NX$25:$NY$32,2,0)="Yes",NOT(ISNUMBER(VLOOKUP(DATE($B$4,$B$5+$B$3-1,V7),HolidayList[Date],1,0)))),TRUE,FALSE),FALSE)</f>
        <v>0</v>
      </c>
      <c r="W6" s="16" t="b">
        <f>IFERROR(IF(AND(VLOOKUP(W8,$NX$25:$NY$32,2,0)="Yes",NOT(ISNUMBER(VLOOKUP(DATE($B$4,$B$5+$B$3-1,W7),HolidayList[Date],1,0)))),TRUE,FALSE),FALSE)</f>
        <v>0</v>
      </c>
      <c r="X6" s="16" t="b">
        <f>IFERROR(IF(AND(VLOOKUP(X8,$NX$25:$NY$32,2,0)="Yes",NOT(ISNUMBER(VLOOKUP(DATE($B$4,$B$5+$B$3-1,X7),HolidayList[Date],1,0)))),TRUE,FALSE),FALSE)</f>
        <v>0</v>
      </c>
      <c r="Y6" s="16" t="b">
        <f>IFERROR(IF(AND(VLOOKUP(Y8,$NX$25:$NY$32,2,0)="Yes",NOT(ISNUMBER(VLOOKUP(DATE($B$4,$B$5+$B$3-1,Y7),HolidayList[Date],1,0)))),TRUE,FALSE),FALSE)</f>
        <v>0</v>
      </c>
      <c r="Z6" s="16" t="b">
        <f>IFERROR(IF(AND(VLOOKUP(Z8,$NX$25:$NY$32,2,0)="Yes",NOT(ISNUMBER(VLOOKUP(DATE($B$4,$B$5+$B$3-1,Z7),HolidayList[Date],1,0)))),TRUE,FALSE),FALSE)</f>
        <v>0</v>
      </c>
      <c r="AA6" s="16" t="b">
        <f>IFERROR(IF(AND(VLOOKUP(AA8,$NX$25:$NY$32,2,0)="Yes",NOT(ISNUMBER(VLOOKUP(DATE($B$4,$B$5+$B$3-1,AA7),HolidayList[Date],1,0)))),TRUE,FALSE),FALSE)</f>
        <v>0</v>
      </c>
      <c r="AB6" s="16" t="b">
        <f>IFERROR(IF(AND(VLOOKUP(AB8,$NX$25:$NY$32,2,0)="Yes",NOT(ISNUMBER(VLOOKUP(DATE($B$4,$B$5+$B$3-1,AB7),HolidayList[Date],1,0)))),TRUE,FALSE),FALSE)</f>
        <v>0</v>
      </c>
      <c r="AC6" s="16" t="b">
        <f>IFERROR(IF(AND(VLOOKUP(AC8,$NX$25:$NY$32,2,0)="Yes",NOT(ISNUMBER(VLOOKUP(DATE($B$4,$B$5+$B$3-1,AC7),HolidayList[Date],1,0)))),TRUE,FALSE),FALSE)</f>
        <v>0</v>
      </c>
      <c r="AD6" s="16" t="b">
        <f>IFERROR(IF(AND(VLOOKUP(AD8,$NX$25:$NY$32,2,0)="Yes",NOT(ISNUMBER(VLOOKUP(DATE($B$4,$B$5+$B$3-1,AD7),HolidayList[Date],1,0)))),TRUE,FALSE),FALSE)</f>
        <v>0</v>
      </c>
      <c r="AE6" s="16" t="b">
        <f>IFERROR(IF(AND(VLOOKUP(AE8,$NX$25:$NY$32,2,0)="Yes",NOT(ISNUMBER(VLOOKUP(DATE($B$4,$B$5+$B$3-1,AE7),HolidayList[Date],1,0)))),TRUE,FALSE),FALSE)</f>
        <v>0</v>
      </c>
      <c r="AF6" s="16" t="b">
        <f>IFERROR(IF(AND(VLOOKUP(AF8,$NX$25:$NY$32,2,0)="Yes",NOT(ISNUMBER(VLOOKUP(DATE($B$4,$B$5+$B$3-1,AF7),HolidayList[Date],1,0)))),TRUE,FALSE),FALSE)</f>
        <v>0</v>
      </c>
      <c r="AG6" s="16" t="b">
        <f>IFERROR(IF(AND(VLOOKUP(AG8,$NX$25:$NY$32,2,0)="Yes",NOT(ISNUMBER(VLOOKUP(DATE($B$4,$B$5+$B$3-1,AG7),HolidayList[Date],1,0)))),TRUE,FALSE),FALSE)</f>
        <v>0</v>
      </c>
      <c r="AH6" s="16" t="b">
        <f>IFERROR(IF(AND(VLOOKUP(AH8,$NX$25:$NY$32,2,0)="Yes",NOT(ISNUMBER(VLOOKUP(DATE($B$4,$B$5+$B$3-1,AH7),HolidayList[Date],1,0)))),TRUE,FALSE),FALSE)</f>
        <v>0</v>
      </c>
      <c r="AI6" s="16" t="b">
        <f>IFERROR(IF(AND(VLOOKUP(AI8,$NX$25:$NY$32,2,0)="Yes",NOT(ISNUMBER(VLOOKUP(DATE($B$4,$B$5+$B$3-1,AI7),HolidayList[Date],1,0)))),TRUE,FALSE),FALSE)</f>
        <v>0</v>
      </c>
      <c r="AJ6" s="16" t="b">
        <f>IFERROR(IF(AND(VLOOKUP(AJ8,$NX$25:$NY$32,2,0)="Yes",NOT(ISNUMBER(VLOOKUP(DATE($B$4,$B$5+$B$3-1,AJ7),HolidayList[Date],1,0)))),TRUE,FALSE),FALSE)</f>
        <v>0</v>
      </c>
      <c r="AK6" s="16" t="b">
        <f>IFERROR(IF(AND(VLOOKUP(AK8,$NX$25:$NY$32,2,0)="Yes",NOT(ISNUMBER(VLOOKUP(DATE($B$4,$B$5+$B$3-1,AK7),HolidayList[Date],1,0)))),TRUE,FALSE),FALSE)</f>
        <v>0</v>
      </c>
      <c r="AL6" s="16" t="b">
        <f>IFERROR(IF(AND(VLOOKUP(AL8,$NX$25:$NY$32,2,0)="Yes",NOT(ISNUMBER(VLOOKUP(DATE($B$4,$B$5+$B$3-1,AL7),HolidayList[Date],1,0)))),TRUE,FALSE),FALSE)</f>
        <v>0</v>
      </c>
      <c r="AM6" s="16" t="b">
        <f>IFERROR(IF(AND(VLOOKUP(AM8,$NX$25:$NY$32,2,0)="Yes",NOT(ISNUMBER(VLOOKUP(DATE($B$4,$B$5+$B$3-1,AM7),HolidayList[Date],1,0)))),TRUE,FALSE),FALSE)</f>
        <v>0</v>
      </c>
      <c r="AN6" s="16" t="b">
        <f>IFERROR(IF(AND(VLOOKUP(AN8,$NX$25:$NY$32,2,0)="Yes",NOT(ISNUMBER(VLOOKUP(DATE($B$4,$B$5+$B$3-1,AN7),HolidayList[Date],1,0)))),TRUE,FALSE),FALSE)</f>
        <v>0</v>
      </c>
      <c r="AO6" s="16" t="b">
        <f>IFERROR(IF(AND(VLOOKUP(AO8,$NX$25:$NY$32,2,0)="Yes",NOT(ISNUMBER(VLOOKUP(DATE($B$4,$B$5+$B$3-1,AO7),HolidayList[Date],1,0)))),TRUE,FALSE),FALSE)</f>
        <v>0</v>
      </c>
      <c r="AP6" s="16" t="b">
        <f>IFERROR(IF(AND(VLOOKUP(AP8,$NX$25:$NY$32,2,0)="Yes",NOT(ISNUMBER(VLOOKUP(DATE($B$4,$B$5+$B$3-1,AP7),HolidayList[Date],1,0)))),TRUE,FALSE),FALSE)</f>
        <v>0</v>
      </c>
      <c r="AQ6" s="16" t="b">
        <f>IFERROR(IF(AND(VLOOKUP(AQ8,$NX$25:$NY$32,2,0)="Yes",NOT(ISNUMBER(VLOOKUP(DATE($B$4,$B$5+$B$3-1,AQ7),HolidayList[Date],1,0)))),TRUE,FALSE),FALSE)</f>
        <v>0</v>
      </c>
      <c r="AR6" s="16" t="b">
        <f>IFERROR(IF(AND(VLOOKUP(AR8,$NX$25:$NY$32,2,0)="Yes",NOT(ISNUMBER(VLOOKUP(DATE($B$4,$B$5+$B$3-1,AR7),HolidayList[Date],1,0)))),TRUE,FALSE),FALSE)</f>
        <v>0</v>
      </c>
      <c r="AS6" s="16" t="b">
        <f>IFERROR(IF(AND(VLOOKUP(AS8,$NX$25:$NY$32,2,0)="Yes",NOT(ISNUMBER(VLOOKUP(DATE($B$4,$B$5+$B$3-1,AS7),HolidayList[Date],1,0)))),TRUE,FALSE),FALSE)</f>
        <v>0</v>
      </c>
      <c r="AT6" s="16" t="b">
        <f>IFERROR(IF(AND(VLOOKUP(AT8,$NX$25:$NY$32,2,0)="Yes",NOT(ISNUMBER(VLOOKUP(DATE($B$4,$B$5+$B$3-1,AT7),HolidayList[Date],1,0)))),TRUE,FALSE),FALSE)</f>
        <v>0</v>
      </c>
      <c r="AU6" s="16" t="b">
        <f>IFERROR(IF(AND(VLOOKUP(AU8,$NX$25:$NY$32,2,0)="Yes",NOT(ISNUMBER(VLOOKUP(DATE($B$4,$B$5+$B$3-1,AU7),HolidayList[Date],1,0)))),TRUE,FALSE),FALSE)</f>
        <v>0</v>
      </c>
      <c r="AV6" s="16" t="b">
        <f>IFERROR(IF(AND(VLOOKUP(AV8,$NX$25:$NY$32,2,0)="Yes",NOT(ISNUMBER(VLOOKUP(DATE($B$4,$B$5+$B$3-1,AV7),HolidayList[Date],1,0)))),TRUE,FALSE),FALSE)</f>
        <v>0</v>
      </c>
      <c r="AW6" s="16" t="b">
        <f>IFERROR(IF(AND(VLOOKUP(AW8,$NX$25:$NY$32,2,0)="Yes",NOT(ISNUMBER(VLOOKUP(DATE($B$4,$B$5+$B$3-1,AW7),HolidayList[Date],1,0)))),TRUE,FALSE),FALSE)</f>
        <v>0</v>
      </c>
      <c r="AX6" s="16" t="b">
        <f>IFERROR(IF(AND(VLOOKUP(AX8,$NX$25:$NY$32,2,0)="Yes",NOT(ISNUMBER(VLOOKUP(DATE($B$4,$B$5+$B$3-1,AX7),HolidayList[Date],1,0)))),TRUE,FALSE),FALSE)</f>
        <v>0</v>
      </c>
      <c r="AY6" s="16" t="b">
        <f>IFERROR(IF(AND(VLOOKUP(AY8,$NX$25:$NY$32,2,0)="Yes",NOT(ISNUMBER(VLOOKUP(DATE($B$4,$B$5+$B$3-1,AY7),HolidayList[Date],1,0)))),TRUE,FALSE),FALSE)</f>
        <v>0</v>
      </c>
      <c r="AZ6" s="16" t="b">
        <f>IFERROR(IF(AND(VLOOKUP(AZ8,$NX$25:$NY$32,2,0)="Yes",NOT(ISNUMBER(VLOOKUP(DATE($B$4,$B$5+$B$3-1,AZ7),HolidayList[Date],1,0)))),TRUE,FALSE),FALSE)</f>
        <v>0</v>
      </c>
      <c r="BA6" s="16" t="b">
        <f>IFERROR(IF(AND(VLOOKUP(BA8,$NX$25:$NY$32,2,0)="Yes",NOT(ISNUMBER(VLOOKUP(DATE($B$4,$B$5+$B$3-1,BA7),HolidayList[Date],1,0)))),TRUE,FALSE),FALSE)</f>
        <v>0</v>
      </c>
      <c r="BB6" s="16" t="b">
        <f>IFERROR(IF(AND(VLOOKUP(BB8,$NX$25:$NY$32,2,0)="Yes",NOT(ISNUMBER(VLOOKUP(DATE($B$4,$B$5+$B$3-1,BB7),HolidayList[Date],1,0)))),TRUE,FALSE),FALSE)</f>
        <v>0</v>
      </c>
      <c r="BC6" s="16" t="b">
        <f>IFERROR(IF(AND(VLOOKUP(BC8,$NX$25:$NY$32,2,0)="Yes",NOT(ISNUMBER(VLOOKUP(DATE($B$4,$B$5+$B$3-1,BC7),HolidayList[Date],1,0)))),TRUE,FALSE),FALSE)</f>
        <v>0</v>
      </c>
      <c r="BD6" s="16" t="b">
        <f>IFERROR(IF(AND(VLOOKUP(BD8,$NX$25:$NY$32,2,0)="Yes",NOT(ISNUMBER(VLOOKUP(DATE($B$4,$B$5+$B$3-1,BD7),HolidayList[Date],1,0)))),TRUE,FALSE),FALSE)</f>
        <v>0</v>
      </c>
      <c r="BE6" s="16" t="b">
        <f>IFERROR(IF(AND(VLOOKUP(BE8,$NX$25:$NY$32,2,0)="Yes",NOT(ISNUMBER(VLOOKUP(DATE($B$4,$B$5+$B$3-1,BE7),HolidayList[Date],1,0)))),TRUE,FALSE),FALSE)</f>
        <v>0</v>
      </c>
      <c r="BF6" s="16" t="b">
        <f>IFERROR(IF(AND(VLOOKUP(BF8,$NX$25:$NY$32,2,0)="Yes",NOT(ISNUMBER(VLOOKUP(DATE($B$4,$B$5+$B$3-1,BF7),HolidayList[Date],1,0)))),TRUE,FALSE),FALSE)</f>
        <v>0</v>
      </c>
      <c r="BG6" s="16" t="b">
        <f>IFERROR(IF(AND(VLOOKUP(BG8,$NX$25:$NY$32,2,0)="Yes",NOT(ISNUMBER(VLOOKUP(DATE($B$4,$B$5+$B$3-1,BG7),HolidayList[Date],1,0)))),TRUE,FALSE),FALSE)</f>
        <v>0</v>
      </c>
      <c r="BH6" s="16" t="b">
        <f>IFERROR(IF(AND(VLOOKUP(BH8,$NX$25:$NY$32,2,0)="Yes",NOT(ISNUMBER(VLOOKUP(DATE($B$4,$B$5+$B$3-1,BH7),HolidayList[Date],1,0)))),TRUE,FALSE),FALSE)</f>
        <v>0</v>
      </c>
      <c r="BI6" s="16" t="b">
        <f>IFERROR(IF(AND(VLOOKUP(BI8,$NX$25:$NY$32,2,0)="Yes",NOT(ISNUMBER(VLOOKUP(DATE($B$4,$B$5+$B$3-1,BI7),HolidayList[Date],1,0)))),TRUE,FALSE),FALSE)</f>
        <v>0</v>
      </c>
      <c r="BJ6" s="16" t="b">
        <f>IFERROR(IF(AND(VLOOKUP(BJ8,$NX$25:$NY$32,2,0)="Yes",NOT(ISNUMBER(VLOOKUP(DATE($B$4,$B$5+$B$3-1,BJ7),HolidayList[Date],1,0)))),TRUE,FALSE),FALSE)</f>
        <v>0</v>
      </c>
      <c r="BK6" s="16" t="b">
        <f>IFERROR(IF(AND(VLOOKUP(BK8,$NX$25:$NY$32,2,0)="Yes",NOT(ISNUMBER(VLOOKUP(DATE($B$4,$B$5+$B$3-1,BK7),HolidayList[Date],1,0)))),TRUE,FALSE),FALSE)</f>
        <v>0</v>
      </c>
      <c r="BL6" s="16" t="b">
        <f>IFERROR(IF(AND(VLOOKUP(BL8,$NX$25:$NY$32,2,0)="Yes",NOT(ISNUMBER(VLOOKUP(DATE($B$4,$B$5+$B$3-1,BL7),HolidayList[Date],1,0)))),TRUE,FALSE),FALSE)</f>
        <v>0</v>
      </c>
      <c r="BM6" s="16" t="b">
        <f>IFERROR(IF(AND(VLOOKUP(BM8,$NX$25:$NY$32,2,0)="Yes",NOT(ISNUMBER(VLOOKUP(DATE($B$4,$B$5+$B$3-1,BM7),HolidayList[Date],1,0)))),TRUE,FALSE),FALSE)</f>
        <v>0</v>
      </c>
      <c r="BN6" s="16" t="b">
        <f>IFERROR(IF(AND(VLOOKUP(BN8,$NX$25:$NY$32,2,0)="Yes",NOT(ISNUMBER(VLOOKUP(DATE($B$4,$B$5+$B$3-1,BN7),HolidayList[Date],1,0)))),TRUE,FALSE),FALSE)</f>
        <v>0</v>
      </c>
      <c r="BO6" s="16" t="b">
        <f>IFERROR(IF(AND(VLOOKUP(BO8,$NX$25:$NY$32,2,0)="Yes",NOT(ISNUMBER(VLOOKUP(DATE($B$4,$B$5+$B$3-1,BO7),HolidayList[Date],1,0)))),TRUE,FALSE),FALSE)</f>
        <v>0</v>
      </c>
      <c r="BP6" s="16" t="b">
        <f>IFERROR(IF(AND(VLOOKUP(BP8,$NX$25:$NY$32,2,0)="Yes",NOT(ISNUMBER(VLOOKUP(DATE($B$4,$B$5+$B$3-1,BP7),HolidayList[Date],1,0)))),TRUE,FALSE),FALSE)</f>
        <v>0</v>
      </c>
      <c r="BQ6" s="16" t="b">
        <f>IFERROR(IF(AND(VLOOKUP(BQ8,$NX$25:$NY$32,2,0)="Yes",NOT(ISNUMBER(VLOOKUP(DATE($B$4,$B$5+$B$3-1,BQ7),HolidayList[Date],1,0)))),TRUE,FALSE),FALSE)</f>
        <v>0</v>
      </c>
      <c r="BR6" s="16" t="b">
        <f>IFERROR(IF(AND(VLOOKUP(BR8,$NX$25:$NY$32,2,0)="Yes",NOT(ISNUMBER(VLOOKUP(DATE($B$4,$B$5+$B$3-1,BR7),HolidayList[Date],1,0)))),TRUE,FALSE),FALSE)</f>
        <v>0</v>
      </c>
      <c r="BS6" s="16" t="b">
        <f>IFERROR(IF(AND(VLOOKUP(BS8,$NX$25:$NY$32,2,0)="Yes",NOT(ISNUMBER(VLOOKUP(DATE($B$4,$B$5+$B$3-1,BS7),HolidayList[Date],1,0)))),TRUE,FALSE),FALSE)</f>
        <v>0</v>
      </c>
      <c r="BT6" s="16" t="b">
        <f>IFERROR(IF(AND(VLOOKUP(BT8,$NX$25:$NY$32,2,0)="Yes",NOT(ISNUMBER(VLOOKUP(DATE($B$4,$B$5+$B$3-1,BT7),HolidayList[Date],1,0)))),TRUE,FALSE),FALSE)</f>
        <v>0</v>
      </c>
      <c r="BU6" s="16" t="b">
        <f>IFERROR(IF(AND(VLOOKUP(BU8,$NX$25:$NY$32,2,0)="Yes",NOT(ISNUMBER(VLOOKUP(DATE($B$4,$B$5+$B$3-1,BU7),HolidayList[Date],1,0)))),TRUE,FALSE),FALSE)</f>
        <v>0</v>
      </c>
      <c r="BV6" s="16" t="b">
        <f>IFERROR(IF(AND(VLOOKUP(BV8,$NX$25:$NY$32,2,0)="Yes",NOT(ISNUMBER(VLOOKUP(DATE($B$4,$B$5+$B$3-1,BV7),HolidayList[Date],1,0)))),TRUE,FALSE),FALSE)</f>
        <v>0</v>
      </c>
      <c r="BW6" s="16" t="b">
        <f>IFERROR(IF(AND(VLOOKUP(BW8,$NX$25:$NY$32,2,0)="Yes",NOT(ISNUMBER(VLOOKUP(DATE($B$4,$B$5+$B$3-1,BW7),HolidayList[Date],1,0)))),TRUE,FALSE),FALSE)</f>
        <v>0</v>
      </c>
      <c r="BX6" s="16" t="b">
        <f>IFERROR(IF(AND(VLOOKUP(BX8,$NX$25:$NY$32,2,0)="Yes",NOT(ISNUMBER(VLOOKUP(DATE($B$4,$B$5+$B$3-1,BX7),HolidayList[Date],1,0)))),TRUE,FALSE),FALSE)</f>
        <v>0</v>
      </c>
      <c r="BY6" s="16" t="b">
        <f>IFERROR(IF(AND(VLOOKUP(BY8,$NX$25:$NY$32,2,0)="Yes",NOT(ISNUMBER(VLOOKUP(DATE($B$4,$B$5+$B$3-1,BY7),HolidayList[Date],1,0)))),TRUE,FALSE),FALSE)</f>
        <v>0</v>
      </c>
      <c r="BZ6" s="16" t="b">
        <f>IFERROR(IF(AND(VLOOKUP(BZ8,$NX$25:$NY$32,2,0)="Yes",NOT(ISNUMBER(VLOOKUP(DATE($B$4,$B$5+$B$3-1,BZ7),HolidayList[Date],1,0)))),TRUE,FALSE),FALSE)</f>
        <v>0</v>
      </c>
      <c r="CA6" s="16" t="b">
        <f>IFERROR(IF(AND(VLOOKUP(CA8,$NX$25:$NY$32,2,0)="Yes",NOT(ISNUMBER(VLOOKUP(DATE($B$4,$B$5+$B$3-1,CA7),HolidayList[Date],1,0)))),TRUE,FALSE),FALSE)</f>
        <v>0</v>
      </c>
      <c r="CB6" s="16" t="b">
        <f>IFERROR(IF(AND(VLOOKUP(CB8,$NX$25:$NY$32,2,0)="Yes",NOT(ISNUMBER(VLOOKUP(DATE($B$4,$B$5+$B$3-1,CB7),HolidayList[Date],1,0)))),TRUE,FALSE),FALSE)</f>
        <v>0</v>
      </c>
      <c r="CC6" s="16" t="b">
        <f>IFERROR(IF(AND(VLOOKUP(CC8,$NX$25:$NY$32,2,0)="Yes",NOT(ISNUMBER(VLOOKUP(DATE($B$4,$B$5+$B$3-1,CC7),HolidayList[Date],1,0)))),TRUE,FALSE),FALSE)</f>
        <v>0</v>
      </c>
      <c r="CD6" s="16" t="b">
        <f>IFERROR(IF(AND(VLOOKUP(CD8,$NX$25:$NY$32,2,0)="Yes",NOT(ISNUMBER(VLOOKUP(DATE($B$4,$B$5+$B$3-1,CD7),HolidayList[Date],1,0)))),TRUE,FALSE),FALSE)</f>
        <v>0</v>
      </c>
      <c r="CE6" s="16" t="b">
        <f>IFERROR(IF(AND(VLOOKUP(CE8,$NX$25:$NY$32,2,0)="Yes",NOT(ISNUMBER(VLOOKUP(DATE($B$4,$B$5+$B$3-1,CE7),HolidayList[Date],1,0)))),TRUE,FALSE),FALSE)</f>
        <v>0</v>
      </c>
      <c r="CF6" s="16" t="b">
        <f>IFERROR(IF(AND(VLOOKUP(CF8,$NX$25:$NY$32,2,0)="Yes",NOT(ISNUMBER(VLOOKUP(DATE($B$4,$B$5+$B$3-1,CF7),HolidayList[Date],1,0)))),TRUE,FALSE),FALSE)</f>
        <v>0</v>
      </c>
      <c r="CG6" s="16" t="b">
        <f>IFERROR(IF(AND(VLOOKUP(CG8,$NX$25:$NY$32,2,0)="Yes",NOT(ISNUMBER(VLOOKUP(DATE($B$4,$B$5+$B$3-1,CG7),HolidayList[Date],1,0)))),TRUE,FALSE),FALSE)</f>
        <v>0</v>
      </c>
      <c r="CH6" s="16" t="b">
        <f>IFERROR(IF(AND(VLOOKUP(CH8,$NX$25:$NY$32,2,0)="Yes",NOT(ISNUMBER(VLOOKUP(DATE($B$4,$B$5+$B$3-1,CH7),HolidayList[Date],1,0)))),TRUE,FALSE),FALSE)</f>
        <v>0</v>
      </c>
      <c r="CI6" s="16" t="b">
        <f>IFERROR(IF(AND(VLOOKUP(CI8,$NX$25:$NY$32,2,0)="Yes",NOT(ISNUMBER(VLOOKUP(DATE($B$4,$B$5+$B$3-1,CI7),HolidayList[Date],1,0)))),TRUE,FALSE),FALSE)</f>
        <v>0</v>
      </c>
      <c r="CJ6" s="16" t="b">
        <f>IFERROR(IF(AND(VLOOKUP(CJ8,$NX$25:$NY$32,2,0)="Yes",NOT(ISNUMBER(VLOOKUP(DATE($B$4,$B$5+$B$3-1,CJ7),HolidayList[Date],1,0)))),TRUE,FALSE),FALSE)</f>
        <v>0</v>
      </c>
      <c r="CK6" s="16" t="b">
        <f>IFERROR(IF(AND(VLOOKUP(CK8,$NX$25:$NY$32,2,0)="Yes",NOT(ISNUMBER(VLOOKUP(DATE($B$4,$B$5+$B$3-1,CK7),HolidayList[Date],1,0)))),TRUE,FALSE),FALSE)</f>
        <v>0</v>
      </c>
      <c r="CL6" s="16" t="b">
        <f>IFERROR(IF(AND(VLOOKUP(CL8,$NX$25:$NY$32,2,0)="Yes",NOT(ISNUMBER(VLOOKUP(DATE($B$4,$B$5+$B$3-1,CL7),HolidayList[Date],1,0)))),TRUE,FALSE),FALSE)</f>
        <v>0</v>
      </c>
      <c r="CM6" s="16" t="b">
        <f>IFERROR(IF(AND(VLOOKUP(CM8,$NX$25:$NY$32,2,0)="Yes",NOT(ISNUMBER(VLOOKUP(DATE($B$4,$B$5+$B$3-1,CM7),HolidayList[Date],1,0)))),TRUE,FALSE),FALSE)</f>
        <v>0</v>
      </c>
      <c r="CN6" s="16" t="b">
        <f>IFERROR(IF(AND(VLOOKUP(CN8,$NX$25:$NY$32,2,0)="Yes",NOT(ISNUMBER(VLOOKUP(DATE($B$4,$B$5+$B$3-1,CN7),HolidayList[Date],1,0)))),TRUE,FALSE),FALSE)</f>
        <v>0</v>
      </c>
      <c r="CO6" s="16" t="b">
        <f>IFERROR(IF(AND(VLOOKUP(CO8,$NX$25:$NY$32,2,0)="Yes",NOT(ISNUMBER(VLOOKUP(DATE($B$4,$B$5+$B$3-1,CO7),HolidayList[Date],1,0)))),TRUE,FALSE),FALSE)</f>
        <v>0</v>
      </c>
      <c r="CP6" s="16" t="b">
        <f>IFERROR(IF(AND(VLOOKUP(CP8,$NX$25:$NY$32,2,0)="Yes",NOT(ISNUMBER(VLOOKUP(DATE($B$4,$B$5+$B$3-1,CP7),HolidayList[Date],1,0)))),TRUE,FALSE),FALSE)</f>
        <v>0</v>
      </c>
      <c r="CQ6" s="16" t="b">
        <f>IFERROR(IF(AND(VLOOKUP(CQ8,$NX$25:$NY$32,2,0)="Yes",NOT(ISNUMBER(VLOOKUP(DATE($B$4,$B$5+$B$3-1,CQ7),HolidayList[Date],1,0)))),TRUE,FALSE),FALSE)</f>
        <v>0</v>
      </c>
      <c r="CR6" s="16" t="b">
        <f>IFERROR(IF(AND(VLOOKUP(CR8,$NX$25:$NY$32,2,0)="Yes",NOT(ISNUMBER(VLOOKUP(DATE($B$4,$B$5+$B$3-1,CR7),HolidayList[Date],1,0)))),TRUE,FALSE),FALSE)</f>
        <v>0</v>
      </c>
      <c r="CS6" s="16" t="b">
        <f>IFERROR(IF(AND(VLOOKUP(CS8,$NX$25:$NY$32,2,0)="Yes",NOT(ISNUMBER(VLOOKUP(DATE($B$4,$B$5+$B$3-1,CS7),HolidayList[Date],1,0)))),TRUE,FALSE),FALSE)</f>
        <v>0</v>
      </c>
      <c r="CT6" s="16" t="b">
        <f>IFERROR(IF(AND(VLOOKUP(CT8,$NX$25:$NY$32,2,0)="Yes",NOT(ISNUMBER(VLOOKUP(DATE($B$4,$B$5+$B$3-1,CT7),HolidayList[Date],1,0)))),TRUE,FALSE),FALSE)</f>
        <v>0</v>
      </c>
      <c r="CU6" s="16" t="b">
        <f>IFERROR(IF(AND(VLOOKUP(CU8,$NX$25:$NY$32,2,0)="Yes",NOT(ISNUMBER(VLOOKUP(DATE($B$4,$B$5+$B$3-1,CU7),HolidayList[Date],1,0)))),TRUE,FALSE),FALSE)</f>
        <v>0</v>
      </c>
      <c r="CV6" s="16" t="b">
        <f>IFERROR(IF(AND(VLOOKUP(CV8,$NX$25:$NY$32,2,0)="Yes",NOT(ISNUMBER(VLOOKUP(DATE($B$4,$B$5+$B$3-1,CV7),HolidayList[Date],1,0)))),TRUE,FALSE),FALSE)</f>
        <v>0</v>
      </c>
      <c r="CW6" s="16" t="b">
        <f>IFERROR(IF(AND(VLOOKUP(CW8,$NX$25:$NY$32,2,0)="Yes",NOT(ISNUMBER(VLOOKUP(DATE($B$4,$B$5+$B$3-1,CW7),HolidayList[Date],1,0)))),TRUE,FALSE),FALSE)</f>
        <v>0</v>
      </c>
      <c r="CX6" s="16" t="b">
        <f>IFERROR(IF(AND(VLOOKUP(CX8,$NX$25:$NY$32,2,0)="Yes",NOT(ISNUMBER(VLOOKUP(DATE($B$4,$B$5+$B$3-1,CX7),HolidayList[Date],1,0)))),TRUE,FALSE),FALSE)</f>
        <v>0</v>
      </c>
      <c r="CY6" s="16" t="b">
        <f>IFERROR(IF(AND(VLOOKUP(CY8,$NX$25:$NY$32,2,0)="Yes",NOT(ISNUMBER(VLOOKUP(DATE($B$4,$B$5+$B$3-1,CY7),HolidayList[Date],1,0)))),TRUE,FALSE),FALSE)</f>
        <v>0</v>
      </c>
      <c r="CZ6" s="16" t="b">
        <f>IFERROR(IF(AND(VLOOKUP(CZ8,$NX$25:$NY$32,2,0)="Yes",NOT(ISNUMBER(VLOOKUP(DATE($B$4,$B$5+$B$3-1,CZ7),HolidayList[Date],1,0)))),TRUE,FALSE),FALSE)</f>
        <v>0</v>
      </c>
      <c r="DA6" s="16" t="b">
        <f>IFERROR(IF(AND(VLOOKUP(DA8,$NX$25:$NY$32,2,0)="Yes",NOT(ISNUMBER(VLOOKUP(DATE($B$4,$B$5+$B$3-1,DA7),HolidayList[Date],1,0)))),TRUE,FALSE),FALSE)</f>
        <v>0</v>
      </c>
      <c r="DB6" s="16" t="b">
        <f>IFERROR(IF(AND(VLOOKUP(DB8,$NX$25:$NY$32,2,0)="Yes",NOT(ISNUMBER(VLOOKUP(DATE($B$4,$B$5+$B$3-1,DB7),HolidayList[Date],1,0)))),TRUE,FALSE),FALSE)</f>
        <v>0</v>
      </c>
      <c r="DC6" s="16" t="b">
        <f>IFERROR(IF(AND(VLOOKUP(DC8,$NX$25:$NY$32,2,0)="Yes",NOT(ISNUMBER(VLOOKUP(DATE($B$4,$B$5+$B$3-1,DC7),HolidayList[Date],1,0)))),TRUE,FALSE),FALSE)</f>
        <v>0</v>
      </c>
      <c r="DD6" s="16" t="b">
        <f>IFERROR(IF(AND(VLOOKUP(DD8,$NX$25:$NY$32,2,0)="Yes",NOT(ISNUMBER(VLOOKUP(DATE($B$4,$B$5+$B$3-1,DD7),HolidayList[Date],1,0)))),TRUE,FALSE),FALSE)</f>
        <v>0</v>
      </c>
      <c r="DE6" s="16" t="b">
        <f>IFERROR(IF(AND(VLOOKUP(DE8,$NX$25:$NY$32,2,0)="Yes",NOT(ISNUMBER(VLOOKUP(DATE($B$4,$B$5+$B$3-1,DE7),HolidayList[Date],1,0)))),TRUE,FALSE),FALSE)</f>
        <v>0</v>
      </c>
      <c r="DF6" s="16" t="b">
        <f>IFERROR(IF(AND(VLOOKUP(DF8,$NX$25:$NY$32,2,0)="Yes",NOT(ISNUMBER(VLOOKUP(DATE($B$4,$B$5+$B$3-1,DF7),HolidayList[Date],1,0)))),TRUE,FALSE),FALSE)</f>
        <v>0</v>
      </c>
      <c r="DG6" s="16" t="b">
        <f>IFERROR(IF(AND(VLOOKUP(DG8,$NX$25:$NY$32,2,0)="Yes",NOT(ISNUMBER(VLOOKUP(DATE($B$4,$B$5+$B$3-1,DG7),HolidayList[Date],1,0)))),TRUE,FALSE),FALSE)</f>
        <v>0</v>
      </c>
      <c r="DH6" s="16" t="b">
        <f>IFERROR(IF(AND(VLOOKUP(DH8,$NX$25:$NY$32,2,0)="Yes",NOT(ISNUMBER(VLOOKUP(DATE($B$4,$B$5+$B$3-1,DH7),HolidayList[Date],1,0)))),TRUE,FALSE),FALSE)</f>
        <v>0</v>
      </c>
      <c r="DI6" s="16" t="b">
        <f>IFERROR(IF(AND(VLOOKUP(DI8,$NX$25:$NY$32,2,0)="Yes",NOT(ISNUMBER(VLOOKUP(DATE($B$4,$B$5+$B$3-1,DI7),HolidayList[Date],1,0)))),TRUE,FALSE),FALSE)</f>
        <v>0</v>
      </c>
      <c r="DJ6" s="16" t="b">
        <f>IFERROR(IF(AND(VLOOKUP(DJ8,$NX$25:$NY$32,2,0)="Yes",NOT(ISNUMBER(VLOOKUP(DATE($B$4,$B$5+$B$3-1,DJ7),HolidayList[Date],1,0)))),TRUE,FALSE),FALSE)</f>
        <v>0</v>
      </c>
      <c r="DK6" s="16" t="b">
        <f>IFERROR(IF(AND(VLOOKUP(DK8,$NX$25:$NY$32,2,0)="Yes",NOT(ISNUMBER(VLOOKUP(DATE($B$4,$B$5+$B$3-1,DK7),HolidayList[Date],1,0)))),TRUE,FALSE),FALSE)</f>
        <v>0</v>
      </c>
      <c r="DL6" s="16" t="b">
        <f>IFERROR(IF(AND(VLOOKUP(DL8,$NX$25:$NY$32,2,0)="Yes",NOT(ISNUMBER(VLOOKUP(DATE($B$4,$B$5+$B$3-1,DL7),HolidayList[Date],1,0)))),TRUE,FALSE),FALSE)</f>
        <v>0</v>
      </c>
      <c r="DM6" s="16" t="b">
        <f>IFERROR(IF(AND(VLOOKUP(DM8,$NX$25:$NY$32,2,0)="Yes",NOT(ISNUMBER(VLOOKUP(DATE($B$4,$B$5+$B$3-1,DM7),HolidayList[Date],1,0)))),TRUE,FALSE),FALSE)</f>
        <v>0</v>
      </c>
      <c r="DN6" s="16" t="b">
        <f>IFERROR(IF(AND(VLOOKUP(DN8,$NX$25:$NY$32,2,0)="Yes",NOT(ISNUMBER(VLOOKUP(DATE($B$4,$B$5+$B$3-1,DN7),HolidayList[Date],1,0)))),TRUE,FALSE),FALSE)</f>
        <v>0</v>
      </c>
      <c r="DO6" s="16" t="b">
        <f>IFERROR(IF(AND(VLOOKUP(DO8,$NX$25:$NY$32,2,0)="Yes",NOT(ISNUMBER(VLOOKUP(DATE($B$4,$B$5+$B$3-1,DO7),HolidayList[Date],1,0)))),TRUE,FALSE),FALSE)</f>
        <v>0</v>
      </c>
      <c r="DP6" s="16" t="b">
        <f>IFERROR(IF(AND(VLOOKUP(DP8,$NX$25:$NY$32,2,0)="Yes",NOT(ISNUMBER(VLOOKUP(DATE($B$4,$B$5+$B$3-1,DP7),HolidayList[Date],1,0)))),TRUE,FALSE),FALSE)</f>
        <v>0</v>
      </c>
      <c r="DQ6" s="16" t="b">
        <f>IFERROR(IF(AND(VLOOKUP(DQ8,$NX$25:$NY$32,2,0)="Yes",NOT(ISNUMBER(VLOOKUP(DATE($B$4,$B$5+$B$3-1,DQ7),HolidayList[Date],1,0)))),TRUE,FALSE),FALSE)</f>
        <v>0</v>
      </c>
      <c r="DR6" s="16" t="b">
        <f>IFERROR(IF(AND(VLOOKUP(DR8,$NX$25:$NY$32,2,0)="Yes",NOT(ISNUMBER(VLOOKUP(DATE($B$4,$B$5+$B$3-1,DR7),HolidayList[Date],1,0)))),TRUE,FALSE),FALSE)</f>
        <v>0</v>
      </c>
      <c r="DS6" s="16" t="b">
        <f>IFERROR(IF(AND(VLOOKUP(DS8,$NX$25:$NY$32,2,0)="Yes",NOT(ISNUMBER(VLOOKUP(DATE($B$4,$B$5+$B$3-1,DS7),HolidayList[Date],1,0)))),TRUE,FALSE),FALSE)</f>
        <v>0</v>
      </c>
      <c r="DT6" s="16" t="b">
        <f>IFERROR(IF(AND(VLOOKUP(DT8,$NX$25:$NY$32,2,0)="Yes",NOT(ISNUMBER(VLOOKUP(DATE($B$4,$B$5+$B$3-1,DT7),HolidayList[Date],1,0)))),TRUE,FALSE),FALSE)</f>
        <v>0</v>
      </c>
      <c r="DU6" s="16" t="b">
        <f>IFERROR(IF(AND(VLOOKUP(DU8,$NX$25:$NY$32,2,0)="Yes",NOT(ISNUMBER(VLOOKUP(DATE($B$4,$B$5+$B$3-1,DU7),HolidayList[Date],1,0)))),TRUE,FALSE),FALSE)</f>
        <v>0</v>
      </c>
      <c r="DV6" s="16" t="b">
        <f>IFERROR(IF(AND(VLOOKUP(DV8,$NX$25:$NY$32,2,0)="Yes",NOT(ISNUMBER(VLOOKUP(DATE($B$4,$B$5+$B$3-1,DV7),HolidayList[Date],1,0)))),TRUE,FALSE),FALSE)</f>
        <v>0</v>
      </c>
      <c r="DW6" s="16" t="b">
        <f>IFERROR(IF(AND(VLOOKUP(DW8,$NX$25:$NY$32,2,0)="Yes",NOT(ISNUMBER(VLOOKUP(DATE($B$4,$B$5+$B$3-1,DW7),HolidayList[Date],1,0)))),TRUE,FALSE),FALSE)</f>
        <v>0</v>
      </c>
      <c r="DX6" s="16" t="b">
        <f>IFERROR(IF(AND(VLOOKUP(DX8,$NX$25:$NY$32,2,0)="Yes",NOT(ISNUMBER(VLOOKUP(DATE($B$4,$B$5+$B$3-1,DX7),HolidayList[Date],1,0)))),TRUE,FALSE),FALSE)</f>
        <v>0</v>
      </c>
      <c r="DY6" s="16" t="b">
        <f>IFERROR(IF(AND(VLOOKUP(DY8,$NX$25:$NY$32,2,0)="Yes",NOT(ISNUMBER(VLOOKUP(DATE($B$4,$B$5+$B$3-1,DY7),HolidayList[Date],1,0)))),TRUE,FALSE),FALSE)</f>
        <v>0</v>
      </c>
      <c r="DZ6" s="16" t="b">
        <f>IFERROR(IF(AND(VLOOKUP(DZ8,$NX$25:$NY$32,2,0)="Yes",NOT(ISNUMBER(VLOOKUP(DATE($B$4,$B$5+$B$3-1,DZ7),HolidayList[Date],1,0)))),TRUE,FALSE),FALSE)</f>
        <v>0</v>
      </c>
      <c r="EA6" s="16" t="b">
        <f>IFERROR(IF(AND(VLOOKUP(EA8,$NX$25:$NY$32,2,0)="Yes",NOT(ISNUMBER(VLOOKUP(DATE($B$4,$B$5+$B$3-1,EA7),HolidayList[Date],1,0)))),TRUE,FALSE),FALSE)</f>
        <v>0</v>
      </c>
      <c r="EB6" s="16" t="b">
        <f>IFERROR(IF(AND(VLOOKUP(EB8,$NX$25:$NY$32,2,0)="Yes",NOT(ISNUMBER(VLOOKUP(DATE($B$4,$B$5+$B$3-1,EB7),HolidayList[Date],1,0)))),TRUE,FALSE),FALSE)</f>
        <v>0</v>
      </c>
      <c r="EC6" s="16" t="b">
        <f>IFERROR(IF(AND(VLOOKUP(EC8,$NX$25:$NY$32,2,0)="Yes",NOT(ISNUMBER(VLOOKUP(DATE($B$4,$B$5+$B$3-1,EC7),HolidayList[Date],1,0)))),TRUE,FALSE),FALSE)</f>
        <v>0</v>
      </c>
      <c r="ED6" s="16" t="b">
        <f>IFERROR(IF(AND(VLOOKUP(ED8,$NX$25:$NY$32,2,0)="Yes",NOT(ISNUMBER(VLOOKUP(DATE($B$4,$B$5+$B$3-1,ED7),HolidayList[Date],1,0)))),TRUE,FALSE),FALSE)</f>
        <v>0</v>
      </c>
      <c r="EE6" s="16" t="b">
        <f>IFERROR(IF(AND(VLOOKUP(EE8,$NX$25:$NY$32,2,0)="Yes",NOT(ISNUMBER(VLOOKUP(DATE($B$4,$B$5+$B$3-1,EE7),HolidayList[Date],1,0)))),TRUE,FALSE),FALSE)</f>
        <v>0</v>
      </c>
      <c r="EF6" s="16" t="b">
        <f>IFERROR(IF(AND(VLOOKUP(EF8,$NX$25:$NY$32,2,0)="Yes",NOT(ISNUMBER(VLOOKUP(DATE($B$4,$B$5+$B$3-1,EF7),HolidayList[Date],1,0)))),TRUE,FALSE),FALSE)</f>
        <v>0</v>
      </c>
      <c r="EG6" s="16" t="b">
        <f>IFERROR(IF(AND(VLOOKUP(EG8,$NX$25:$NY$32,2,0)="Yes",NOT(ISNUMBER(VLOOKUP(DATE($B$4,$B$5+$B$3-1,EG7),HolidayList[Date],1,0)))),TRUE,FALSE),FALSE)</f>
        <v>0</v>
      </c>
      <c r="EH6" s="16" t="b">
        <f>IFERROR(IF(AND(VLOOKUP(EH8,$NX$25:$NY$32,2,0)="Yes",NOT(ISNUMBER(VLOOKUP(DATE($B$4,$B$5+$B$3-1,EH7),HolidayList[Date],1,0)))),TRUE,FALSE),FALSE)</f>
        <v>0</v>
      </c>
      <c r="EI6" s="16" t="b">
        <f>IFERROR(IF(AND(VLOOKUP(EI8,$NX$25:$NY$32,2,0)="Yes",NOT(ISNUMBER(VLOOKUP(DATE($B$4,$B$5+$B$3-1,EI7),HolidayList[Date],1,0)))),TRUE,FALSE),FALSE)</f>
        <v>0</v>
      </c>
      <c r="EJ6" s="16" t="b">
        <f>IFERROR(IF(AND(VLOOKUP(EJ8,$NX$25:$NY$32,2,0)="Yes",NOT(ISNUMBER(VLOOKUP(DATE($B$4,$B$5+$B$3-1,EJ7),HolidayList[Date],1,0)))),TRUE,FALSE),FALSE)</f>
        <v>0</v>
      </c>
      <c r="EK6" s="16" t="b">
        <f>IFERROR(IF(AND(VLOOKUP(EK8,$NX$25:$NY$32,2,0)="Yes",NOT(ISNUMBER(VLOOKUP(DATE($B$4,$B$5+$B$3-1,EK7),HolidayList[Date],1,0)))),TRUE,FALSE),FALSE)</f>
        <v>0</v>
      </c>
      <c r="EL6" s="16" t="b">
        <f>IFERROR(IF(AND(VLOOKUP(EL8,$NX$25:$NY$32,2,0)="Yes",NOT(ISNUMBER(VLOOKUP(DATE($B$4,$B$5+$B$3-1,EL7),HolidayList[Date],1,0)))),TRUE,FALSE),FALSE)</f>
        <v>0</v>
      </c>
      <c r="EM6" s="16" t="b">
        <f>IFERROR(IF(AND(VLOOKUP(EM8,$NX$25:$NY$32,2,0)="Yes",NOT(ISNUMBER(VLOOKUP(DATE($B$4,$B$5+$B$3-1,EM7),HolidayList[Date],1,0)))),TRUE,FALSE),FALSE)</f>
        <v>0</v>
      </c>
      <c r="EN6" s="16" t="b">
        <f>IFERROR(IF(AND(VLOOKUP(EN8,$NX$25:$NY$32,2,0)="Yes",NOT(ISNUMBER(VLOOKUP(DATE($B$4,$B$5+$B$3-1,EN7),HolidayList[Date],1,0)))),TRUE,FALSE),FALSE)</f>
        <v>0</v>
      </c>
      <c r="EO6" s="16" t="b">
        <f>IFERROR(IF(AND(VLOOKUP(EO8,$NX$25:$NY$32,2,0)="Yes",NOT(ISNUMBER(VLOOKUP(DATE($B$4,$B$5+$B$3-1,EO7),HolidayList[Date],1,0)))),TRUE,FALSE),FALSE)</f>
        <v>0</v>
      </c>
      <c r="EP6" s="16" t="b">
        <f>IFERROR(IF(AND(VLOOKUP(EP8,$NX$25:$NY$32,2,0)="Yes",NOT(ISNUMBER(VLOOKUP(DATE($B$4,$B$5+$B$3-1,EP7),HolidayList[Date],1,0)))),TRUE,FALSE),FALSE)</f>
        <v>0</v>
      </c>
      <c r="EQ6" s="16" t="b">
        <f>IFERROR(IF(AND(VLOOKUP(EQ8,$NX$25:$NY$32,2,0)="Yes",NOT(ISNUMBER(VLOOKUP(DATE($B$4,$B$5+$B$3-1,EQ7),HolidayList[Date],1,0)))),TRUE,FALSE),FALSE)</f>
        <v>0</v>
      </c>
      <c r="ER6" s="16" t="b">
        <f>IFERROR(IF(AND(VLOOKUP(ER8,$NX$25:$NY$32,2,0)="Yes",NOT(ISNUMBER(VLOOKUP(DATE($B$4,$B$5+$B$3-1,ER7),HolidayList[Date],1,0)))),TRUE,FALSE),FALSE)</f>
        <v>0</v>
      </c>
      <c r="ES6" s="16" t="b">
        <f>IFERROR(IF(AND(VLOOKUP(ES8,$NX$25:$NY$32,2,0)="Yes",NOT(ISNUMBER(VLOOKUP(DATE($B$4,$B$5+$B$3-1,ES7),HolidayList[Date],1,0)))),TRUE,FALSE),FALSE)</f>
        <v>0</v>
      </c>
      <c r="ET6" s="16" t="b">
        <f>IFERROR(IF(AND(VLOOKUP(ET8,$NX$25:$NY$32,2,0)="Yes",NOT(ISNUMBER(VLOOKUP(DATE($B$4,$B$5+$B$3-1,ET7),HolidayList[Date],1,0)))),TRUE,FALSE),FALSE)</f>
        <v>0</v>
      </c>
      <c r="EU6" s="16" t="b">
        <f>IFERROR(IF(AND(VLOOKUP(EU8,$NX$25:$NY$32,2,0)="Yes",NOT(ISNUMBER(VLOOKUP(DATE($B$4,$B$5+$B$3-1,EU7),HolidayList[Date],1,0)))),TRUE,FALSE),FALSE)</f>
        <v>0</v>
      </c>
      <c r="EV6" s="16" t="b">
        <f>IFERROR(IF(AND(VLOOKUP(EV8,$NX$25:$NY$32,2,0)="Yes",NOT(ISNUMBER(VLOOKUP(DATE($B$4,$B$5+$B$3-1,EV7),HolidayList[Date],1,0)))),TRUE,FALSE),FALSE)</f>
        <v>0</v>
      </c>
      <c r="EW6" s="16" t="b">
        <f>IFERROR(IF(AND(VLOOKUP(EW8,$NX$25:$NY$32,2,0)="Yes",NOT(ISNUMBER(VLOOKUP(DATE($B$4,$B$5+$B$3-1,EW7),HolidayList[Date],1,0)))),TRUE,FALSE),FALSE)</f>
        <v>0</v>
      </c>
      <c r="EX6" s="16" t="b">
        <f>IFERROR(IF(AND(VLOOKUP(EX8,$NX$25:$NY$32,2,0)="Yes",NOT(ISNUMBER(VLOOKUP(DATE($B$4,$B$5+$B$3-1,EX7),HolidayList[Date],1,0)))),TRUE,FALSE),FALSE)</f>
        <v>0</v>
      </c>
      <c r="EY6" s="16" t="b">
        <f>IFERROR(IF(AND(VLOOKUP(EY8,$NX$25:$NY$32,2,0)="Yes",NOT(ISNUMBER(VLOOKUP(DATE($B$4,$B$5+$B$3-1,EY7),HolidayList[Date],1,0)))),TRUE,FALSE),FALSE)</f>
        <v>0</v>
      </c>
      <c r="EZ6" s="16" t="b">
        <f>IFERROR(IF(AND(VLOOKUP(EZ8,$NX$25:$NY$32,2,0)="Yes",NOT(ISNUMBER(VLOOKUP(DATE($B$4,$B$5+$B$3-1,EZ7),HolidayList[Date],1,0)))),TRUE,FALSE),FALSE)</f>
        <v>0</v>
      </c>
      <c r="FA6" s="16" t="b">
        <f>IFERROR(IF(AND(VLOOKUP(FA8,$NX$25:$NY$32,2,0)="Yes",NOT(ISNUMBER(VLOOKUP(DATE($B$4,$B$5+$B$3-1,FA7),HolidayList[Date],1,0)))),TRUE,FALSE),FALSE)</f>
        <v>0</v>
      </c>
      <c r="FB6" s="16" t="b">
        <f>IFERROR(IF(AND(VLOOKUP(FB8,$NX$25:$NY$32,2,0)="Yes",NOT(ISNUMBER(VLOOKUP(DATE($B$4,$B$5+$B$3-1,FB7),HolidayList[Date],1,0)))),TRUE,FALSE),FALSE)</f>
        <v>0</v>
      </c>
      <c r="FC6" s="16" t="b">
        <f>IFERROR(IF(AND(VLOOKUP(FC8,$NX$25:$NY$32,2,0)="Yes",NOT(ISNUMBER(VLOOKUP(DATE($B$4,$B$5+$B$3-1,FC7),HolidayList[Date],1,0)))),TRUE,FALSE),FALSE)</f>
        <v>0</v>
      </c>
      <c r="FD6" s="16" t="b">
        <f>IFERROR(IF(AND(VLOOKUP(FD8,$NX$25:$NY$32,2,0)="Yes",NOT(ISNUMBER(VLOOKUP(DATE($B$4,$B$5+$B$3-1,FD7),HolidayList[Date],1,0)))),TRUE,FALSE),FALSE)</f>
        <v>0</v>
      </c>
      <c r="FE6" s="16" t="b">
        <f>IFERROR(IF(AND(VLOOKUP(FE8,$NX$25:$NY$32,2,0)="Yes",NOT(ISNUMBER(VLOOKUP(DATE($B$4,$B$5+$B$3-1,FE7),HolidayList[Date],1,0)))),TRUE,FALSE),FALSE)</f>
        <v>0</v>
      </c>
      <c r="FF6" s="16" t="b">
        <f>IFERROR(IF(AND(VLOOKUP(FF8,$NX$25:$NY$32,2,0)="Yes",NOT(ISNUMBER(VLOOKUP(DATE($B$4,$B$5+$B$3-1,FF7),HolidayList[Date],1,0)))),TRUE,FALSE),FALSE)</f>
        <v>0</v>
      </c>
      <c r="FG6" s="16" t="b">
        <f>IFERROR(IF(AND(VLOOKUP(FG8,$NX$25:$NY$32,2,0)="Yes",NOT(ISNUMBER(VLOOKUP(DATE($B$4,$B$5+$B$3-1,FG7),HolidayList[Date],1,0)))),TRUE,FALSE),FALSE)</f>
        <v>0</v>
      </c>
      <c r="FH6" s="16" t="b">
        <f>IFERROR(IF(AND(VLOOKUP(FH8,$NX$25:$NY$32,2,0)="Yes",NOT(ISNUMBER(VLOOKUP(DATE($B$4,$B$5+$B$3-1,FH7),HolidayList[Date],1,0)))),TRUE,FALSE),FALSE)</f>
        <v>0</v>
      </c>
      <c r="FI6" s="16" t="b">
        <f>IFERROR(IF(AND(VLOOKUP(FI8,$NX$25:$NY$32,2,0)="Yes",NOT(ISNUMBER(VLOOKUP(DATE($B$4,$B$5+$B$3-1,FI7),HolidayList[Date],1,0)))),TRUE,FALSE),FALSE)</f>
        <v>0</v>
      </c>
      <c r="FJ6" s="16" t="b">
        <f>IFERROR(IF(AND(VLOOKUP(FJ8,$NX$25:$NY$32,2,0)="Yes",NOT(ISNUMBER(VLOOKUP(DATE($B$4,$B$5+$B$3-1,FJ7),HolidayList[Date],1,0)))),TRUE,FALSE),FALSE)</f>
        <v>0</v>
      </c>
      <c r="FK6" s="16" t="b">
        <f>IFERROR(IF(AND(VLOOKUP(FK8,$NX$25:$NY$32,2,0)="Yes",NOT(ISNUMBER(VLOOKUP(DATE($B$4,$B$5+$B$3-1,FK7),HolidayList[Date],1,0)))),TRUE,FALSE),FALSE)</f>
        <v>0</v>
      </c>
      <c r="FL6" s="16" t="b">
        <f>IFERROR(IF(AND(VLOOKUP(FL8,$NX$25:$NY$32,2,0)="Yes",NOT(ISNUMBER(VLOOKUP(DATE($B$4,$B$5+$B$3-1,FL7),HolidayList[Date],1,0)))),TRUE,FALSE),FALSE)</f>
        <v>0</v>
      </c>
      <c r="FM6" s="16" t="b">
        <f>IFERROR(IF(AND(VLOOKUP(FM8,$NX$25:$NY$32,2,0)="Yes",NOT(ISNUMBER(VLOOKUP(DATE($B$4,$B$5+$B$3-1,FM7),HolidayList[Date],1,0)))),TRUE,FALSE),FALSE)</f>
        <v>0</v>
      </c>
      <c r="FN6" s="16" t="b">
        <f>IFERROR(IF(AND(VLOOKUP(FN8,$NX$25:$NY$32,2,0)="Yes",NOT(ISNUMBER(VLOOKUP(DATE($B$4,$B$5+$B$3-1,FN7),HolidayList[Date],1,0)))),TRUE,FALSE),FALSE)</f>
        <v>0</v>
      </c>
      <c r="FO6" s="16" t="b">
        <f>IFERROR(IF(AND(VLOOKUP(FO8,$NX$25:$NY$32,2,0)="Yes",NOT(ISNUMBER(VLOOKUP(DATE($B$4,$B$5+$B$3-1,FO7),HolidayList[Date],1,0)))),TRUE,FALSE),FALSE)</f>
        <v>0</v>
      </c>
      <c r="FP6" s="16" t="b">
        <f>IFERROR(IF(AND(VLOOKUP(FP8,$NX$25:$NY$32,2,0)="Yes",NOT(ISNUMBER(VLOOKUP(DATE($B$4,$B$5+$B$3-1,FP7),HolidayList[Date],1,0)))),TRUE,FALSE),FALSE)</f>
        <v>0</v>
      </c>
      <c r="FQ6" s="16" t="b">
        <f>IFERROR(IF(AND(VLOOKUP(FQ8,$NX$25:$NY$32,2,0)="Yes",NOT(ISNUMBER(VLOOKUP(DATE($B$4,$B$5+$B$3-1,FQ7),HolidayList[Date],1,0)))),TRUE,FALSE),FALSE)</f>
        <v>0</v>
      </c>
      <c r="FR6" s="16" t="b">
        <f>IFERROR(IF(AND(VLOOKUP(FR8,$NX$25:$NY$32,2,0)="Yes",NOT(ISNUMBER(VLOOKUP(DATE($B$4,$B$5+$B$3-1,FR7),HolidayList[Date],1,0)))),TRUE,FALSE),FALSE)</f>
        <v>0</v>
      </c>
      <c r="FS6" s="16" t="b">
        <f>IFERROR(IF(AND(VLOOKUP(FS8,$NX$25:$NY$32,2,0)="Yes",NOT(ISNUMBER(VLOOKUP(DATE($B$4,$B$5+$B$3-1,FS7),HolidayList[Date],1,0)))),TRUE,FALSE),FALSE)</f>
        <v>0</v>
      </c>
      <c r="FT6" s="16" t="b">
        <f>IFERROR(IF(AND(VLOOKUP(FT8,$NX$25:$NY$32,2,0)="Yes",NOT(ISNUMBER(VLOOKUP(DATE($B$4,$B$5+$B$3-1,FT7),HolidayList[Date],1,0)))),TRUE,FALSE),FALSE)</f>
        <v>0</v>
      </c>
      <c r="FU6" s="16" t="b">
        <f>IFERROR(IF(AND(VLOOKUP(FU8,$NX$25:$NY$32,2,0)="Yes",NOT(ISNUMBER(VLOOKUP(DATE($B$4,$B$5+$B$3-1,FU7),HolidayList[Date],1,0)))),TRUE,FALSE),FALSE)</f>
        <v>0</v>
      </c>
      <c r="FV6" s="16" t="b">
        <f>IFERROR(IF(AND(VLOOKUP(FV8,$NX$25:$NY$32,2,0)="Yes",NOT(ISNUMBER(VLOOKUP(DATE($B$4,$B$5+$B$3-1,FV7),HolidayList[Date],1,0)))),TRUE,FALSE),FALSE)</f>
        <v>0</v>
      </c>
      <c r="FW6" s="16" t="b">
        <f>IFERROR(IF(AND(VLOOKUP(FW8,$NX$25:$NY$32,2,0)="Yes",NOT(ISNUMBER(VLOOKUP(DATE($B$4,$B$5+$B$3-1,FW7),HolidayList[Date],1,0)))),TRUE,FALSE),FALSE)</f>
        <v>0</v>
      </c>
      <c r="FX6" s="16" t="b">
        <f>IFERROR(IF(AND(VLOOKUP(FX8,$NX$25:$NY$32,2,0)="Yes",NOT(ISNUMBER(VLOOKUP(DATE($B$4,$B$5+$B$3-1,FX7),HolidayList[Date],1,0)))),TRUE,FALSE),FALSE)</f>
        <v>0</v>
      </c>
      <c r="FY6" s="16" t="b">
        <f>IFERROR(IF(AND(VLOOKUP(FY8,$NX$25:$NY$32,2,0)="Yes",NOT(ISNUMBER(VLOOKUP(DATE($B$4,$B$5+$B$3-1,FY7),HolidayList[Date],1,0)))),TRUE,FALSE),FALSE)</f>
        <v>0</v>
      </c>
      <c r="FZ6" s="16" t="b">
        <f>IFERROR(IF(AND(VLOOKUP(FZ8,$NX$25:$NY$32,2,0)="Yes",NOT(ISNUMBER(VLOOKUP(DATE($B$4,$B$5+$B$3-1,FZ7),HolidayList[Date],1,0)))),TRUE,FALSE),FALSE)</f>
        <v>0</v>
      </c>
      <c r="GA6" s="16" t="b">
        <f>IFERROR(IF(AND(VLOOKUP(GA8,$NX$25:$NY$32,2,0)="Yes",NOT(ISNUMBER(VLOOKUP(DATE($B$4,$B$5+$B$3-1,GA7),HolidayList[Date],1,0)))),TRUE,FALSE),FALSE)</f>
        <v>0</v>
      </c>
      <c r="GB6" s="16" t="b">
        <f>IFERROR(IF(AND(VLOOKUP(GB8,$NX$25:$NY$32,2,0)="Yes",NOT(ISNUMBER(VLOOKUP(DATE($B$4,$B$5+$B$3-1,GB7),HolidayList[Date],1,0)))),TRUE,FALSE),FALSE)</f>
        <v>0</v>
      </c>
      <c r="GC6" s="16" t="b">
        <f>IFERROR(IF(AND(VLOOKUP(GC8,$NX$25:$NY$32,2,0)="Yes",NOT(ISNUMBER(VLOOKUP(DATE($B$4,$B$5+$B$3-1,GC7),HolidayList[Date],1,0)))),TRUE,FALSE),FALSE)</f>
        <v>0</v>
      </c>
      <c r="GD6" s="16" t="b">
        <f>IFERROR(IF(AND(VLOOKUP(GD8,$NX$25:$NY$32,2,0)="Yes",NOT(ISNUMBER(VLOOKUP(DATE($B$4,$B$5+$B$3-1,GD7),HolidayList[Date],1,0)))),TRUE,FALSE),FALSE)</f>
        <v>0</v>
      </c>
      <c r="GE6" s="16" t="b">
        <f>IFERROR(IF(AND(VLOOKUP(GE8,$NX$25:$NY$32,2,0)="Yes",NOT(ISNUMBER(VLOOKUP(DATE($B$4,$B$5+$B$3-1,GE7),HolidayList[Date],1,0)))),TRUE,FALSE),FALSE)</f>
        <v>0</v>
      </c>
      <c r="GF6" s="16" t="b">
        <f>IFERROR(IF(AND(VLOOKUP(GF8,$NX$25:$NY$32,2,0)="Yes",NOT(ISNUMBER(VLOOKUP(DATE($B$4,$B$5+$B$3-1,GF7),HolidayList[Date],1,0)))),TRUE,FALSE),FALSE)</f>
        <v>0</v>
      </c>
      <c r="GG6" s="16" t="b">
        <f>IFERROR(IF(AND(VLOOKUP(GG8,$NX$25:$NY$32,2,0)="Yes",NOT(ISNUMBER(VLOOKUP(DATE($B$4,$B$5+$B$3-1,GG7),HolidayList[Date],1,0)))),TRUE,FALSE),FALSE)</f>
        <v>0</v>
      </c>
      <c r="GH6" s="16" t="b">
        <f>IFERROR(IF(AND(VLOOKUP(GH8,$NX$25:$NY$32,2,0)="Yes",NOT(ISNUMBER(VLOOKUP(DATE($B$4,$B$5+$B$3-1,GH7),HolidayList[Date],1,0)))),TRUE,FALSE),FALSE)</f>
        <v>0</v>
      </c>
      <c r="GI6" s="16" t="b">
        <f>IFERROR(IF(AND(VLOOKUP(GI8,$NX$25:$NY$32,2,0)="Yes",NOT(ISNUMBER(VLOOKUP(DATE($B$4,$B$5+$B$3-1,GI7),HolidayList[Date],1,0)))),TRUE,FALSE),FALSE)</f>
        <v>0</v>
      </c>
      <c r="GJ6" s="16" t="b">
        <f>IFERROR(IF(AND(VLOOKUP(GJ8,$NX$25:$NY$32,2,0)="Yes",NOT(ISNUMBER(VLOOKUP(DATE($B$4,$B$5+$B$3-1,GJ7),HolidayList[Date],1,0)))),TRUE,FALSE),FALSE)</f>
        <v>0</v>
      </c>
      <c r="GK6" s="16" t="b">
        <f>IFERROR(IF(AND(VLOOKUP(GK8,$NX$25:$NY$32,2,0)="Yes",NOT(ISNUMBER(VLOOKUP(DATE($B$4,$B$5+$B$3-1,GK7),HolidayList[Date],1,0)))),TRUE,FALSE),FALSE)</f>
        <v>0</v>
      </c>
      <c r="GL6" s="16" t="b">
        <f>IFERROR(IF(AND(VLOOKUP(GL8,$NX$25:$NY$32,2,0)="Yes",NOT(ISNUMBER(VLOOKUP(DATE($B$4,$B$5+$B$3-1,GL7),HolidayList[Date],1,0)))),TRUE,FALSE),FALSE)</f>
        <v>0</v>
      </c>
      <c r="GM6" s="16" t="b">
        <f>IFERROR(IF(AND(VLOOKUP(GM8,$NX$25:$NY$32,2,0)="Yes",NOT(ISNUMBER(VLOOKUP(DATE($B$4,$B$5+$B$3-1,GM7),HolidayList[Date],1,0)))),TRUE,FALSE),FALSE)</f>
        <v>0</v>
      </c>
      <c r="GN6" s="16" t="b">
        <f>IFERROR(IF(AND(VLOOKUP(GN8,$NX$25:$NY$32,2,0)="Yes",NOT(ISNUMBER(VLOOKUP(DATE($B$4,$B$5+$B$3-1,GN7),HolidayList[Date],1,0)))),TRUE,FALSE),FALSE)</f>
        <v>0</v>
      </c>
      <c r="GO6" s="16" t="b">
        <f>IFERROR(IF(AND(VLOOKUP(GO8,$NX$25:$NY$32,2,0)="Yes",NOT(ISNUMBER(VLOOKUP(DATE($B$4,$B$5+$B$3-1,GO7),HolidayList[Date],1,0)))),TRUE,FALSE),FALSE)</f>
        <v>0</v>
      </c>
      <c r="GP6" s="16" t="b">
        <f>IFERROR(IF(AND(VLOOKUP(GP8,$NX$25:$NY$32,2,0)="Yes",NOT(ISNUMBER(VLOOKUP(DATE($B$4,$B$5+$B$3-1,GP7),HolidayList[Date],1,0)))),TRUE,FALSE),FALSE)</f>
        <v>0</v>
      </c>
      <c r="GQ6" s="16" t="b">
        <f>IFERROR(IF(AND(VLOOKUP(GQ8,$NX$25:$NY$32,2,0)="Yes",NOT(ISNUMBER(VLOOKUP(DATE($B$4,$B$5+$B$3-1,GQ7),HolidayList[Date],1,0)))),TRUE,FALSE),FALSE)</f>
        <v>0</v>
      </c>
      <c r="GR6" s="16" t="b">
        <f>IFERROR(IF(AND(VLOOKUP(GR8,$NX$25:$NY$32,2,0)="Yes",NOT(ISNUMBER(VLOOKUP(DATE($B$4,$B$5+$B$3-1,GR7),HolidayList[Date],1,0)))),TRUE,FALSE),FALSE)</f>
        <v>0</v>
      </c>
      <c r="GS6" s="16" t="b">
        <f>IFERROR(IF(AND(VLOOKUP(GS8,$NX$25:$NY$32,2,0)="Yes",NOT(ISNUMBER(VLOOKUP(DATE($B$4,$B$5+$B$3-1,GS7),HolidayList[Date],1,0)))),TRUE,FALSE),FALSE)</f>
        <v>0</v>
      </c>
      <c r="GT6" s="16" t="b">
        <f>IFERROR(IF(AND(VLOOKUP(GT8,$NX$25:$NY$32,2,0)="Yes",NOT(ISNUMBER(VLOOKUP(DATE($B$4,$B$5+$B$3-1,GT7),HolidayList[Date],1,0)))),TRUE,FALSE),FALSE)</f>
        <v>0</v>
      </c>
      <c r="GU6" s="16" t="b">
        <f>IFERROR(IF(AND(VLOOKUP(GU8,$NX$25:$NY$32,2,0)="Yes",NOT(ISNUMBER(VLOOKUP(DATE($B$4,$B$5+$B$3-1,GU7),HolidayList[Date],1,0)))),TRUE,FALSE),FALSE)</f>
        <v>0</v>
      </c>
      <c r="GV6" s="16" t="b">
        <f>IFERROR(IF(AND(VLOOKUP(GV8,$NX$25:$NY$32,2,0)="Yes",NOT(ISNUMBER(VLOOKUP(DATE($B$4,$B$5+$B$3-1,GV7),HolidayList[Date],1,0)))),TRUE,FALSE),FALSE)</f>
        <v>0</v>
      </c>
      <c r="GW6" s="16" t="b">
        <f>IFERROR(IF(AND(VLOOKUP(GW8,$NX$25:$NY$32,2,0)="Yes",NOT(ISNUMBER(VLOOKUP(DATE($B$4,$B$5+$B$3-1,GW7),HolidayList[Date],1,0)))),TRUE,FALSE),FALSE)</f>
        <v>0</v>
      </c>
      <c r="GX6" s="16" t="b">
        <f>IFERROR(IF(AND(VLOOKUP(GX8,$NX$25:$NY$32,2,0)="Yes",NOT(ISNUMBER(VLOOKUP(DATE($B$4,$B$5+$B$3-1,GX7),HolidayList[Date],1,0)))),TRUE,FALSE),FALSE)</f>
        <v>0</v>
      </c>
      <c r="GY6" s="16" t="b">
        <f>IFERROR(IF(AND(VLOOKUP(GY8,$NX$25:$NY$32,2,0)="Yes",NOT(ISNUMBER(VLOOKUP(DATE($B$4,$B$5+$B$3-1,GY7),HolidayList[Date],1,0)))),TRUE,FALSE),FALSE)</f>
        <v>0</v>
      </c>
      <c r="GZ6" s="16" t="b">
        <f>IFERROR(IF(AND(VLOOKUP(GZ8,$NX$25:$NY$32,2,0)="Yes",NOT(ISNUMBER(VLOOKUP(DATE($B$4,$B$5+$B$3-1,GZ7),HolidayList[Date],1,0)))),TRUE,FALSE),FALSE)</f>
        <v>0</v>
      </c>
      <c r="HA6" s="16" t="b">
        <f>IFERROR(IF(AND(VLOOKUP(HA8,$NX$25:$NY$32,2,0)="Yes",NOT(ISNUMBER(VLOOKUP(DATE($B$4,$B$5+$B$3-1,HA7),HolidayList[Date],1,0)))),TRUE,FALSE),FALSE)</f>
        <v>0</v>
      </c>
      <c r="HB6" s="16" t="b">
        <f>IFERROR(IF(AND(VLOOKUP(HB8,$NX$25:$NY$32,2,0)="Yes",NOT(ISNUMBER(VLOOKUP(DATE($B$4,$B$5+$B$3-1,HB7),HolidayList[Date],1,0)))),TRUE,FALSE),FALSE)</f>
        <v>0</v>
      </c>
      <c r="HC6" s="16" t="b">
        <f>IFERROR(IF(AND(VLOOKUP(HC8,$NX$25:$NY$32,2,0)="Yes",NOT(ISNUMBER(VLOOKUP(DATE($B$4,$B$5+$B$3-1,HC7),HolidayList[Date],1,0)))),TRUE,FALSE),FALSE)</f>
        <v>0</v>
      </c>
      <c r="HD6" s="16" t="b">
        <f>IFERROR(IF(AND(VLOOKUP(HD8,$NX$25:$NY$32,2,0)="Yes",NOT(ISNUMBER(VLOOKUP(DATE($B$4,$B$5+$B$3-1,HD7),HolidayList[Date],1,0)))),TRUE,FALSE),FALSE)</f>
        <v>0</v>
      </c>
      <c r="HE6" s="16" t="b">
        <f>IFERROR(IF(AND(VLOOKUP(HE8,$NX$25:$NY$32,2,0)="Yes",NOT(ISNUMBER(VLOOKUP(DATE($B$4,$B$5+$B$3-1,HE7),HolidayList[Date],1,0)))),TRUE,FALSE),FALSE)</f>
        <v>0</v>
      </c>
      <c r="HF6" s="16" t="b">
        <f>IFERROR(IF(AND(VLOOKUP(HF8,$NX$25:$NY$32,2,0)="Yes",NOT(ISNUMBER(VLOOKUP(DATE($B$4,$B$5+$B$3-1,HF7),HolidayList[Date],1,0)))),TRUE,FALSE),FALSE)</f>
        <v>0</v>
      </c>
      <c r="HG6" s="16" t="b">
        <f>IFERROR(IF(AND(VLOOKUP(HG8,$NX$25:$NY$32,2,0)="Yes",NOT(ISNUMBER(VLOOKUP(DATE($B$4,$B$5+$B$3-1,HG7),HolidayList[Date],1,0)))),TRUE,FALSE),FALSE)</f>
        <v>0</v>
      </c>
      <c r="HH6" s="16" t="b">
        <f>IFERROR(IF(AND(VLOOKUP(HH8,$NX$25:$NY$32,2,0)="Yes",NOT(ISNUMBER(VLOOKUP(DATE($B$4,$B$5+$B$3-1,HH7),HolidayList[Date],1,0)))),TRUE,FALSE),FALSE)</f>
        <v>0</v>
      </c>
      <c r="HI6" s="16" t="b">
        <f>IFERROR(IF(AND(VLOOKUP(HI8,$NX$25:$NY$32,2,0)="Yes",NOT(ISNUMBER(VLOOKUP(DATE($B$4,$B$5+$B$3-1,HI7),HolidayList[Date],1,0)))),TRUE,FALSE),FALSE)</f>
        <v>0</v>
      </c>
      <c r="HJ6" s="16" t="b">
        <f>IFERROR(IF(AND(VLOOKUP(HJ8,$NX$25:$NY$32,2,0)="Yes",NOT(ISNUMBER(VLOOKUP(DATE($B$4,$B$5+$B$3-1,HJ7),HolidayList[Date],1,0)))),TRUE,FALSE),FALSE)</f>
        <v>0</v>
      </c>
      <c r="HK6" s="16" t="b">
        <f>IFERROR(IF(AND(VLOOKUP(HK8,$NX$25:$NY$32,2,0)="Yes",NOT(ISNUMBER(VLOOKUP(DATE($B$4,$B$5+$B$3-1,HK7),HolidayList[Date],1,0)))),TRUE,FALSE),FALSE)</f>
        <v>0</v>
      </c>
      <c r="HL6" s="16" t="b">
        <f>IFERROR(IF(AND(VLOOKUP(HL8,$NX$25:$NY$32,2,0)="Yes",NOT(ISNUMBER(VLOOKUP(DATE($B$4,$B$5+$B$3-1,HL7),HolidayList[Date],1,0)))),TRUE,FALSE),FALSE)</f>
        <v>0</v>
      </c>
      <c r="HM6" s="16" t="b">
        <f>IFERROR(IF(AND(VLOOKUP(HM8,$NX$25:$NY$32,2,0)="Yes",NOT(ISNUMBER(VLOOKUP(DATE($B$4,$B$5+$B$3-1,HM7),HolidayList[Date],1,0)))),TRUE,FALSE),FALSE)</f>
        <v>0</v>
      </c>
      <c r="HN6" s="16" t="b">
        <f>IFERROR(IF(AND(VLOOKUP(HN8,$NX$25:$NY$32,2,0)="Yes",NOT(ISNUMBER(VLOOKUP(DATE($B$4,$B$5+$B$3-1,HN7),HolidayList[Date],1,0)))),TRUE,FALSE),FALSE)</f>
        <v>0</v>
      </c>
      <c r="HO6" s="16" t="b">
        <f>IFERROR(IF(AND(VLOOKUP(HO8,$NX$25:$NY$32,2,0)="Yes",NOT(ISNUMBER(VLOOKUP(DATE($B$4,$B$5+$B$3-1,HO7),HolidayList[Date],1,0)))),TRUE,FALSE),FALSE)</f>
        <v>0</v>
      </c>
      <c r="HP6" s="16" t="b">
        <f>IFERROR(IF(AND(VLOOKUP(HP8,$NX$25:$NY$32,2,0)="Yes",NOT(ISNUMBER(VLOOKUP(DATE($B$4,$B$5+$B$3-1,HP7),HolidayList[Date],1,0)))),TRUE,FALSE),FALSE)</f>
        <v>0</v>
      </c>
      <c r="HQ6" s="16" t="b">
        <f>IFERROR(IF(AND(VLOOKUP(HQ8,$NX$25:$NY$32,2,0)="Yes",NOT(ISNUMBER(VLOOKUP(DATE($B$4,$B$5+$B$3-1,HQ7),HolidayList[Date],1,0)))),TRUE,FALSE),FALSE)</f>
        <v>0</v>
      </c>
      <c r="HR6" s="16" t="b">
        <f>IFERROR(IF(AND(VLOOKUP(HR8,$NX$25:$NY$32,2,0)="Yes",NOT(ISNUMBER(VLOOKUP(DATE($B$4,$B$5+$B$3-1,HR7),HolidayList[Date],1,0)))),TRUE,FALSE),FALSE)</f>
        <v>0</v>
      </c>
      <c r="HS6" s="16" t="b">
        <f>IFERROR(IF(AND(VLOOKUP(HS8,$NX$25:$NY$32,2,0)="Yes",NOT(ISNUMBER(VLOOKUP(DATE($B$4,$B$5+$B$3-1,HS7),HolidayList[Date],1,0)))),TRUE,FALSE),FALSE)</f>
        <v>0</v>
      </c>
      <c r="HT6" s="16" t="b">
        <f>IFERROR(IF(AND(VLOOKUP(HT8,$NX$25:$NY$32,2,0)="Yes",NOT(ISNUMBER(VLOOKUP(DATE($B$4,$B$5+$B$3-1,HT7),HolidayList[Date],1,0)))),TRUE,FALSE),FALSE)</f>
        <v>0</v>
      </c>
      <c r="HU6" s="16" t="b">
        <f>IFERROR(IF(AND(VLOOKUP(HU8,$NX$25:$NY$32,2,0)="Yes",NOT(ISNUMBER(VLOOKUP(DATE($B$4,$B$5+$B$3-1,HU7),HolidayList[Date],1,0)))),TRUE,FALSE),FALSE)</f>
        <v>0</v>
      </c>
      <c r="HV6" s="16" t="b">
        <f>IFERROR(IF(AND(VLOOKUP(HV8,$NX$25:$NY$32,2,0)="Yes",NOT(ISNUMBER(VLOOKUP(DATE($B$4,$B$5+$B$3-1,HV7),HolidayList[Date],1,0)))),TRUE,FALSE),FALSE)</f>
        <v>0</v>
      </c>
      <c r="HW6" s="16" t="b">
        <f>IFERROR(IF(AND(VLOOKUP(HW8,$NX$25:$NY$32,2,0)="Yes",NOT(ISNUMBER(VLOOKUP(DATE($B$4,$B$5+$B$3-1,HW7),HolidayList[Date],1,0)))),TRUE,FALSE),FALSE)</f>
        <v>0</v>
      </c>
      <c r="HX6" s="16" t="b">
        <f>IFERROR(IF(AND(VLOOKUP(HX8,$NX$25:$NY$32,2,0)="Yes",NOT(ISNUMBER(VLOOKUP(DATE($B$4,$B$5+$B$3-1,HX7),HolidayList[Date],1,0)))),TRUE,FALSE),FALSE)</f>
        <v>0</v>
      </c>
      <c r="HY6" s="16" t="b">
        <f>IFERROR(IF(AND(VLOOKUP(HY8,$NX$25:$NY$32,2,0)="Yes",NOT(ISNUMBER(VLOOKUP(DATE($B$4,$B$5+$B$3-1,HY7),HolidayList[Date],1,0)))),TRUE,FALSE),FALSE)</f>
        <v>0</v>
      </c>
      <c r="HZ6" s="16" t="b">
        <f>IFERROR(IF(AND(VLOOKUP(HZ8,$NX$25:$NY$32,2,0)="Yes",NOT(ISNUMBER(VLOOKUP(DATE($B$4,$B$5+$B$3-1,HZ7),HolidayList[Date],1,0)))),TRUE,FALSE),FALSE)</f>
        <v>0</v>
      </c>
      <c r="IA6" s="16" t="b">
        <f>IFERROR(IF(AND(VLOOKUP(IA8,$NX$25:$NY$32,2,0)="Yes",NOT(ISNUMBER(VLOOKUP(DATE($B$4,$B$5+$B$3-1,IA7),HolidayList[Date],1,0)))),TRUE,FALSE),FALSE)</f>
        <v>0</v>
      </c>
      <c r="IB6" s="16" t="b">
        <f>IFERROR(IF(AND(VLOOKUP(IB8,$NX$25:$NY$32,2,0)="Yes",NOT(ISNUMBER(VLOOKUP(DATE($B$4,$B$5+$B$3-1,IB7),HolidayList[Date],1,0)))),TRUE,FALSE),FALSE)</f>
        <v>0</v>
      </c>
      <c r="IC6" s="16" t="b">
        <f>IFERROR(IF(AND(VLOOKUP(IC8,$NX$25:$NY$32,2,0)="Yes",NOT(ISNUMBER(VLOOKUP(DATE($B$4,$B$5+$B$3-1,IC7),HolidayList[Date],1,0)))),TRUE,FALSE),FALSE)</f>
        <v>0</v>
      </c>
      <c r="ID6" s="16" t="b">
        <f>IFERROR(IF(AND(VLOOKUP(ID8,$NX$25:$NY$32,2,0)="Yes",NOT(ISNUMBER(VLOOKUP(DATE($B$4,$B$5+$B$3-1,ID7),HolidayList[Date],1,0)))),TRUE,FALSE),FALSE)</f>
        <v>0</v>
      </c>
      <c r="IE6" s="16" t="b">
        <f>IFERROR(IF(AND(VLOOKUP(IE8,$NX$25:$NY$32,2,0)="Yes",NOT(ISNUMBER(VLOOKUP(DATE($B$4,$B$5+$B$3-1,IE7),HolidayList[Date],1,0)))),TRUE,FALSE),FALSE)</f>
        <v>0</v>
      </c>
      <c r="IF6" s="16" t="b">
        <f>IFERROR(IF(AND(VLOOKUP(IF8,$NX$25:$NY$32,2,0)="Yes",NOT(ISNUMBER(VLOOKUP(DATE($B$4,$B$5+$B$3-1,IF7),HolidayList[Date],1,0)))),TRUE,FALSE),FALSE)</f>
        <v>0</v>
      </c>
      <c r="IG6" s="16" t="b">
        <f>IFERROR(IF(AND(VLOOKUP(IG8,$NX$25:$NY$32,2,0)="Yes",NOT(ISNUMBER(VLOOKUP(DATE($B$4,$B$5+$B$3-1,IG7),HolidayList[Date],1,0)))),TRUE,FALSE),FALSE)</f>
        <v>0</v>
      </c>
      <c r="IH6" s="16" t="b">
        <f>IFERROR(IF(AND(VLOOKUP(IH8,$NX$25:$NY$32,2,0)="Yes",NOT(ISNUMBER(VLOOKUP(DATE($B$4,$B$5+$B$3-1,IH7),HolidayList[Date],1,0)))),TRUE,FALSE),FALSE)</f>
        <v>0</v>
      </c>
      <c r="II6" s="16" t="b">
        <f>IFERROR(IF(AND(VLOOKUP(II8,$NX$25:$NY$32,2,0)="Yes",NOT(ISNUMBER(VLOOKUP(DATE($B$4,$B$5+$B$3-1,II7),HolidayList[Date],1,0)))),TRUE,FALSE),FALSE)</f>
        <v>0</v>
      </c>
      <c r="IJ6" s="16" t="b">
        <f>IFERROR(IF(AND(VLOOKUP(IJ8,$NX$25:$NY$32,2,0)="Yes",NOT(ISNUMBER(VLOOKUP(DATE($B$4,$B$5+$B$3-1,IJ7),HolidayList[Date],1,0)))),TRUE,FALSE),FALSE)</f>
        <v>0</v>
      </c>
      <c r="IK6" s="16" t="b">
        <f>IFERROR(IF(AND(VLOOKUP(IK8,$NX$25:$NY$32,2,0)="Yes",NOT(ISNUMBER(VLOOKUP(DATE($B$4,$B$5+$B$3-1,IK7),HolidayList[Date],1,0)))),TRUE,FALSE),FALSE)</f>
        <v>0</v>
      </c>
      <c r="IL6" s="16" t="b">
        <f>IFERROR(IF(AND(VLOOKUP(IL8,$NX$25:$NY$32,2,0)="Yes",NOT(ISNUMBER(VLOOKUP(DATE($B$4,$B$5+$B$3-1,IL7),HolidayList[Date],1,0)))),TRUE,FALSE),FALSE)</f>
        <v>0</v>
      </c>
      <c r="IM6" s="16" t="b">
        <f>IFERROR(IF(AND(VLOOKUP(IM8,$NX$25:$NY$32,2,0)="Yes",NOT(ISNUMBER(VLOOKUP(DATE($B$4,$B$5+$B$3-1,IM7),HolidayList[Date],1,0)))),TRUE,FALSE),FALSE)</f>
        <v>0</v>
      </c>
      <c r="IN6" s="16" t="b">
        <f>IFERROR(IF(AND(VLOOKUP(IN8,$NX$25:$NY$32,2,0)="Yes",NOT(ISNUMBER(VLOOKUP(DATE($B$4,$B$5+$B$3-1,IN7),HolidayList[Date],1,0)))),TRUE,FALSE),FALSE)</f>
        <v>0</v>
      </c>
      <c r="IO6" s="16" t="b">
        <f>IFERROR(IF(AND(VLOOKUP(IO8,$NX$25:$NY$32,2,0)="Yes",NOT(ISNUMBER(VLOOKUP(DATE($B$4,$B$5+$B$3-1,IO7),HolidayList[Date],1,0)))),TRUE,FALSE),FALSE)</f>
        <v>0</v>
      </c>
      <c r="IP6" s="16" t="b">
        <f>IFERROR(IF(AND(VLOOKUP(IP8,$NX$25:$NY$32,2,0)="Yes",NOT(ISNUMBER(VLOOKUP(DATE($B$4,$B$5+$B$3-1,IP7),HolidayList[Date],1,0)))),TRUE,FALSE),FALSE)</f>
        <v>0</v>
      </c>
      <c r="IQ6" s="16" t="b">
        <f>IFERROR(IF(AND(VLOOKUP(IQ8,$NX$25:$NY$32,2,0)="Yes",NOT(ISNUMBER(VLOOKUP(DATE($B$4,$B$5+$B$3-1,IQ7),HolidayList[Date],1,0)))),TRUE,FALSE),FALSE)</f>
        <v>0</v>
      </c>
      <c r="IR6" s="16" t="b">
        <f>IFERROR(IF(AND(VLOOKUP(IR8,$NX$25:$NY$32,2,0)="Yes",NOT(ISNUMBER(VLOOKUP(DATE($B$4,$B$5+$B$3-1,IR7),HolidayList[Date],1,0)))),TRUE,FALSE),FALSE)</f>
        <v>0</v>
      </c>
      <c r="IS6" s="16" t="b">
        <f>IFERROR(IF(AND(VLOOKUP(IS8,$NX$25:$NY$32,2,0)="Yes",NOT(ISNUMBER(VLOOKUP(DATE($B$4,$B$5+$B$3-1,IS7),HolidayList[Date],1,0)))),TRUE,FALSE),FALSE)</f>
        <v>0</v>
      </c>
      <c r="IT6" s="16" t="b">
        <f>IFERROR(IF(AND(VLOOKUP(IT8,$NX$25:$NY$32,2,0)="Yes",NOT(ISNUMBER(VLOOKUP(DATE($B$4,$B$5+$B$3-1,IT7),HolidayList[Date],1,0)))),TRUE,FALSE),FALSE)</f>
        <v>0</v>
      </c>
      <c r="IU6" s="16" t="b">
        <f>IFERROR(IF(AND(VLOOKUP(IU8,$NX$25:$NY$32,2,0)="Yes",NOT(ISNUMBER(VLOOKUP(DATE($B$4,$B$5+$B$3-1,IU7),HolidayList[Date],1,0)))),TRUE,FALSE),FALSE)</f>
        <v>0</v>
      </c>
      <c r="IV6" s="16" t="b">
        <f>IFERROR(IF(AND(VLOOKUP(IV8,$NX$25:$NY$32,2,0)="Yes",NOT(ISNUMBER(VLOOKUP(DATE($B$4,$B$5+$B$3-1,IV7),HolidayList[Date],1,0)))),TRUE,FALSE),FALSE)</f>
        <v>0</v>
      </c>
      <c r="IW6" s="16" t="b">
        <f>IFERROR(IF(AND(VLOOKUP(IW8,$NX$25:$NY$32,2,0)="Yes",NOT(ISNUMBER(VLOOKUP(DATE($B$4,$B$5+$B$3-1,IW7),HolidayList[Date],1,0)))),TRUE,FALSE),FALSE)</f>
        <v>0</v>
      </c>
      <c r="IX6" s="16" t="b">
        <f>IFERROR(IF(AND(VLOOKUP(IX8,$NX$25:$NY$32,2,0)="Yes",NOT(ISNUMBER(VLOOKUP(DATE($B$4,$B$5+$B$3-1,IX7),HolidayList[Date],1,0)))),TRUE,FALSE),FALSE)</f>
        <v>0</v>
      </c>
      <c r="IY6" s="16" t="b">
        <f>IFERROR(IF(AND(VLOOKUP(IY8,$NX$25:$NY$32,2,0)="Yes",NOT(ISNUMBER(VLOOKUP(DATE($B$4,$B$5+$B$3-1,IY7),HolidayList[Date],1,0)))),TRUE,FALSE),FALSE)</f>
        <v>0</v>
      </c>
      <c r="IZ6" s="16" t="b">
        <f>IFERROR(IF(AND(VLOOKUP(IZ8,$NX$25:$NY$32,2,0)="Yes",NOT(ISNUMBER(VLOOKUP(DATE($B$4,$B$5+$B$3-1,IZ7),HolidayList[Date],1,0)))),TRUE,FALSE),FALSE)</f>
        <v>0</v>
      </c>
      <c r="JA6" s="16" t="b">
        <f>IFERROR(IF(AND(VLOOKUP(JA8,$NX$25:$NY$32,2,0)="Yes",NOT(ISNUMBER(VLOOKUP(DATE($B$4,$B$5+$B$3-1,JA7),HolidayList[Date],1,0)))),TRUE,FALSE),FALSE)</f>
        <v>0</v>
      </c>
      <c r="JB6" s="16" t="b">
        <f>IFERROR(IF(AND(VLOOKUP(JB8,$NX$25:$NY$32,2,0)="Yes",NOT(ISNUMBER(VLOOKUP(DATE($B$4,$B$5+$B$3-1,JB7),HolidayList[Date],1,0)))),TRUE,FALSE),FALSE)</f>
        <v>0</v>
      </c>
      <c r="JC6" s="16" t="b">
        <f>IFERROR(IF(AND(VLOOKUP(JC8,$NX$25:$NY$32,2,0)="Yes",NOT(ISNUMBER(VLOOKUP(DATE($B$4,$B$5+$B$3-1,JC7),HolidayList[Date],1,0)))),TRUE,FALSE),FALSE)</f>
        <v>0</v>
      </c>
      <c r="JD6" s="16" t="b">
        <f>IFERROR(IF(AND(VLOOKUP(JD8,$NX$25:$NY$32,2,0)="Yes",NOT(ISNUMBER(VLOOKUP(DATE($B$4,$B$5+$B$3-1,JD7),HolidayList[Date],1,0)))),TRUE,FALSE),FALSE)</f>
        <v>0</v>
      </c>
      <c r="JE6" s="16" t="b">
        <f>IFERROR(IF(AND(VLOOKUP(JE8,$NX$25:$NY$32,2,0)="Yes",NOT(ISNUMBER(VLOOKUP(DATE($B$4,$B$5+$B$3-1,JE7),HolidayList[Date],1,0)))),TRUE,FALSE),FALSE)</f>
        <v>0</v>
      </c>
      <c r="JF6" s="16" t="b">
        <f>IFERROR(IF(AND(VLOOKUP(JF8,$NX$25:$NY$32,2,0)="Yes",NOT(ISNUMBER(VLOOKUP(DATE($B$4,$B$5+$B$3-1,JF7),HolidayList[Date],1,0)))),TRUE,FALSE),FALSE)</f>
        <v>0</v>
      </c>
      <c r="JG6" s="16" t="b">
        <f>IFERROR(IF(AND(VLOOKUP(JG8,$NX$25:$NY$32,2,0)="Yes",NOT(ISNUMBER(VLOOKUP(DATE($B$4,$B$5+$B$3-1,JG7),HolidayList[Date],1,0)))),TRUE,FALSE),FALSE)</f>
        <v>0</v>
      </c>
      <c r="JH6" s="16" t="b">
        <f>IFERROR(IF(AND(VLOOKUP(JH8,$NX$25:$NY$32,2,0)="Yes",NOT(ISNUMBER(VLOOKUP(DATE($B$4,$B$5+$B$3-1,JH7),HolidayList[Date],1,0)))),TRUE,FALSE),FALSE)</f>
        <v>0</v>
      </c>
      <c r="JI6" s="16" t="b">
        <f>IFERROR(IF(AND(VLOOKUP(JI8,$NX$25:$NY$32,2,0)="Yes",NOT(ISNUMBER(VLOOKUP(DATE($B$4,$B$5+$B$3-1,JI7),HolidayList[Date],1,0)))),TRUE,FALSE),FALSE)</f>
        <v>0</v>
      </c>
      <c r="JJ6" s="16" t="b">
        <f>IFERROR(IF(AND(VLOOKUP(JJ8,$NX$25:$NY$32,2,0)="Yes",NOT(ISNUMBER(VLOOKUP(DATE($B$4,$B$5+$B$3-1,JJ7),HolidayList[Date],1,0)))),TRUE,FALSE),FALSE)</f>
        <v>0</v>
      </c>
      <c r="JK6" s="16" t="b">
        <f>IFERROR(IF(AND(VLOOKUP(JK8,$NX$25:$NY$32,2,0)="Yes",NOT(ISNUMBER(VLOOKUP(DATE($B$4,$B$5+$B$3-1,JK7),HolidayList[Date],1,0)))),TRUE,FALSE),FALSE)</f>
        <v>0</v>
      </c>
      <c r="JL6" s="16" t="b">
        <f>IFERROR(IF(AND(VLOOKUP(JL8,$NX$25:$NY$32,2,0)="Yes",NOT(ISNUMBER(VLOOKUP(DATE($B$4,$B$5+$B$3-1,JL7),HolidayList[Date],1,0)))),TRUE,FALSE),FALSE)</f>
        <v>0</v>
      </c>
      <c r="JM6" s="16" t="b">
        <f>IFERROR(IF(AND(VLOOKUP(JM8,$NX$25:$NY$32,2,0)="Yes",NOT(ISNUMBER(VLOOKUP(DATE($B$4,$B$5+$B$3-1,JM7),HolidayList[Date],1,0)))),TRUE,FALSE),FALSE)</f>
        <v>0</v>
      </c>
      <c r="JN6" s="16" t="b">
        <f>IFERROR(IF(AND(VLOOKUP(JN8,$NX$25:$NY$32,2,0)="Yes",NOT(ISNUMBER(VLOOKUP(DATE($B$4,$B$5+$B$3-1,JN7),HolidayList[Date],1,0)))),TRUE,FALSE),FALSE)</f>
        <v>0</v>
      </c>
      <c r="JO6" s="16" t="b">
        <f>IFERROR(IF(AND(VLOOKUP(JO8,$NX$25:$NY$32,2,0)="Yes",NOT(ISNUMBER(VLOOKUP(DATE($B$4,$B$5+$B$3-1,JO7),HolidayList[Date],1,0)))),TRUE,FALSE),FALSE)</f>
        <v>0</v>
      </c>
      <c r="JP6" s="16" t="b">
        <f>IFERROR(IF(AND(VLOOKUP(JP8,$NX$25:$NY$32,2,0)="Yes",NOT(ISNUMBER(VLOOKUP(DATE($B$4,$B$5+$B$3-1,JP7),HolidayList[Date],1,0)))),TRUE,FALSE),FALSE)</f>
        <v>0</v>
      </c>
      <c r="JQ6" s="16" t="b">
        <f>IFERROR(IF(AND(VLOOKUP(JQ8,$NX$25:$NY$32,2,0)="Yes",NOT(ISNUMBER(VLOOKUP(DATE($B$4,$B$5+$B$3-1,JQ7),HolidayList[Date],1,0)))),TRUE,FALSE),FALSE)</f>
        <v>0</v>
      </c>
      <c r="JR6" s="16" t="b">
        <f>IFERROR(IF(AND(VLOOKUP(JR8,$NX$25:$NY$32,2,0)="Yes",NOT(ISNUMBER(VLOOKUP(DATE($B$4,$B$5+$B$3-1,JR7),HolidayList[Date],1,0)))),TRUE,FALSE),FALSE)</f>
        <v>0</v>
      </c>
      <c r="JS6" s="16" t="b">
        <f>IFERROR(IF(AND(VLOOKUP(JS8,$NX$25:$NY$32,2,0)="Yes",NOT(ISNUMBER(VLOOKUP(DATE($B$4,$B$5+$B$3-1,JS7),HolidayList[Date],1,0)))),TRUE,FALSE),FALSE)</f>
        <v>0</v>
      </c>
      <c r="JT6" s="16" t="b">
        <f>IFERROR(IF(AND(VLOOKUP(JT8,$NX$25:$NY$32,2,0)="Yes",NOT(ISNUMBER(VLOOKUP(DATE($B$4,$B$5+$B$3-1,JT7),HolidayList[Date],1,0)))),TRUE,FALSE),FALSE)</f>
        <v>0</v>
      </c>
      <c r="JU6" s="16" t="b">
        <f>IFERROR(IF(AND(VLOOKUP(JU8,$NX$25:$NY$32,2,0)="Yes",NOT(ISNUMBER(VLOOKUP(DATE($B$4,$B$5+$B$3-1,JU7),HolidayList[Date],1,0)))),TRUE,FALSE),FALSE)</f>
        <v>0</v>
      </c>
      <c r="JV6" s="16" t="b">
        <f>IFERROR(IF(AND(VLOOKUP(JV8,$NX$25:$NY$32,2,0)="Yes",NOT(ISNUMBER(VLOOKUP(DATE($B$4,$B$5+$B$3-1,JV7),HolidayList[Date],1,0)))),TRUE,FALSE),FALSE)</f>
        <v>0</v>
      </c>
      <c r="JW6" s="16" t="b">
        <f>IFERROR(IF(AND(VLOOKUP(JW8,$NX$25:$NY$32,2,0)="Yes",NOT(ISNUMBER(VLOOKUP(DATE($B$4,$B$5+$B$3-1,JW7),HolidayList[Date],1,0)))),TRUE,FALSE),FALSE)</f>
        <v>0</v>
      </c>
      <c r="JX6" s="16" t="b">
        <f>IFERROR(IF(AND(VLOOKUP(JX8,$NX$25:$NY$32,2,0)="Yes",NOT(ISNUMBER(VLOOKUP(DATE($B$4,$B$5+$B$3-1,JX7),HolidayList[Date],1,0)))),TRUE,FALSE),FALSE)</f>
        <v>0</v>
      </c>
      <c r="JY6" s="16" t="b">
        <f>IFERROR(IF(AND(VLOOKUP(JY8,$NX$25:$NY$32,2,0)="Yes",NOT(ISNUMBER(VLOOKUP(DATE($B$4,$B$5+$B$3-1,JY7),HolidayList[Date],1,0)))),TRUE,FALSE),FALSE)</f>
        <v>0</v>
      </c>
      <c r="JZ6" s="16" t="b">
        <f>IFERROR(IF(AND(VLOOKUP(JZ8,$NX$25:$NY$32,2,0)="Yes",NOT(ISNUMBER(VLOOKUP(DATE($B$4,$B$5+$B$3-1,JZ7),HolidayList[Date],1,0)))),TRUE,FALSE),FALSE)</f>
        <v>0</v>
      </c>
      <c r="KA6" s="16" t="b">
        <f>IFERROR(IF(AND(VLOOKUP(KA8,$NX$25:$NY$32,2,0)="Yes",NOT(ISNUMBER(VLOOKUP(DATE($B$4,$B$5+$B$3-1,KA7),HolidayList[Date],1,0)))),TRUE,FALSE),FALSE)</f>
        <v>0</v>
      </c>
      <c r="KB6" s="16" t="b">
        <f>IFERROR(IF(AND(VLOOKUP(KB8,$NX$25:$NY$32,2,0)="Yes",NOT(ISNUMBER(VLOOKUP(DATE($B$4,$B$5+$B$3-1,KB7),HolidayList[Date],1,0)))),TRUE,FALSE),FALSE)</f>
        <v>0</v>
      </c>
      <c r="KC6" s="16" t="b">
        <f>IFERROR(IF(AND(VLOOKUP(KC8,$NX$25:$NY$32,2,0)="Yes",NOT(ISNUMBER(VLOOKUP(DATE($B$4,$B$5+$B$3-1,KC7),HolidayList[Date],1,0)))),TRUE,FALSE),FALSE)</f>
        <v>0</v>
      </c>
      <c r="KD6" s="16" t="b">
        <f>IFERROR(IF(AND(VLOOKUP(KD8,$NX$25:$NY$32,2,0)="Yes",NOT(ISNUMBER(VLOOKUP(DATE($B$4,$B$5+$B$3-1,KD7),HolidayList[Date],1,0)))),TRUE,FALSE),FALSE)</f>
        <v>0</v>
      </c>
      <c r="KE6" s="16" t="b">
        <f>IFERROR(IF(AND(VLOOKUP(KE8,$NX$25:$NY$32,2,0)="Yes",NOT(ISNUMBER(VLOOKUP(DATE($B$4,$B$5+$B$3-1,KE7),HolidayList[Date],1,0)))),TRUE,FALSE),FALSE)</f>
        <v>0</v>
      </c>
      <c r="KF6" s="16" t="b">
        <f>IFERROR(IF(AND(VLOOKUP(KF8,$NX$25:$NY$32,2,0)="Yes",NOT(ISNUMBER(VLOOKUP(DATE($B$4,$B$5+$B$3-1,KF7),HolidayList[Date],1,0)))),TRUE,FALSE),FALSE)</f>
        <v>0</v>
      </c>
      <c r="KG6" s="16" t="b">
        <f>IFERROR(IF(AND(VLOOKUP(KG8,$NX$25:$NY$32,2,0)="Yes",NOT(ISNUMBER(VLOOKUP(DATE($B$4,$B$5+$B$3-1,KG7),HolidayList[Date],1,0)))),TRUE,FALSE),FALSE)</f>
        <v>0</v>
      </c>
      <c r="KH6" s="16" t="b">
        <f>IFERROR(IF(AND(VLOOKUP(KH8,$NX$25:$NY$32,2,0)="Yes",NOT(ISNUMBER(VLOOKUP(DATE($B$4,$B$5+$B$3-1,KH7),HolidayList[Date],1,0)))),TRUE,FALSE),FALSE)</f>
        <v>0</v>
      </c>
      <c r="KI6" s="16" t="b">
        <f>IFERROR(IF(AND(VLOOKUP(KI8,$NX$25:$NY$32,2,0)="Yes",NOT(ISNUMBER(VLOOKUP(DATE($B$4,$B$5+$B$3-1,KI7),HolidayList[Date],1,0)))),TRUE,FALSE),FALSE)</f>
        <v>0</v>
      </c>
      <c r="KJ6" s="16" t="b">
        <f>IFERROR(IF(AND(VLOOKUP(KJ8,$NX$25:$NY$32,2,0)="Yes",NOT(ISNUMBER(VLOOKUP(DATE($B$4,$B$5+$B$3-1,KJ7),HolidayList[Date],1,0)))),TRUE,FALSE),FALSE)</f>
        <v>0</v>
      </c>
      <c r="KK6" s="16" t="b">
        <f>IFERROR(IF(AND(VLOOKUP(KK8,$NX$25:$NY$32,2,0)="Yes",NOT(ISNUMBER(VLOOKUP(DATE($B$4,$B$5+$B$3-1,KK7),HolidayList[Date],1,0)))),TRUE,FALSE),FALSE)</f>
        <v>0</v>
      </c>
      <c r="KL6" s="16" t="b">
        <f>IFERROR(IF(AND(VLOOKUP(KL8,$NX$25:$NY$32,2,0)="Yes",NOT(ISNUMBER(VLOOKUP(DATE($B$4,$B$5+$B$3-1,KL7),HolidayList[Date],1,0)))),TRUE,FALSE),FALSE)</f>
        <v>0</v>
      </c>
      <c r="KM6" s="16" t="b">
        <f>IFERROR(IF(AND(VLOOKUP(KM8,$NX$25:$NY$32,2,0)="Yes",NOT(ISNUMBER(VLOOKUP(DATE($B$4,$B$5+$B$3-1,KM7),HolidayList[Date],1,0)))),TRUE,FALSE),FALSE)</f>
        <v>0</v>
      </c>
      <c r="KN6" s="16" t="b">
        <f>IFERROR(IF(AND(VLOOKUP(KN8,$NX$25:$NY$32,2,0)="Yes",NOT(ISNUMBER(VLOOKUP(DATE($B$4,$B$5+$B$3-1,KN7),HolidayList[Date],1,0)))),TRUE,FALSE),FALSE)</f>
        <v>0</v>
      </c>
      <c r="KO6" s="16" t="b">
        <f>IFERROR(IF(AND(VLOOKUP(KO8,$NX$25:$NY$32,2,0)="Yes",NOT(ISNUMBER(VLOOKUP(DATE($B$4,$B$5+$B$3-1,KO7),HolidayList[Date],1,0)))),TRUE,FALSE),FALSE)</f>
        <v>0</v>
      </c>
      <c r="KP6" s="16" t="b">
        <f>IFERROR(IF(AND(VLOOKUP(KP8,$NX$25:$NY$32,2,0)="Yes",NOT(ISNUMBER(VLOOKUP(DATE($B$4,$B$5+$B$3-1,KP7),HolidayList[Date],1,0)))),TRUE,FALSE),FALSE)</f>
        <v>0</v>
      </c>
      <c r="KQ6" s="16" t="b">
        <f>IFERROR(IF(AND(VLOOKUP(KQ8,$NX$25:$NY$32,2,0)="Yes",NOT(ISNUMBER(VLOOKUP(DATE($B$4,$B$5+$B$3-1,KQ7),HolidayList[Date],1,0)))),TRUE,FALSE),FALSE)</f>
        <v>0</v>
      </c>
      <c r="KR6" s="16" t="b">
        <f>IFERROR(IF(AND(VLOOKUP(KR8,$NX$25:$NY$32,2,0)="Yes",NOT(ISNUMBER(VLOOKUP(DATE($B$4,$B$5+$B$3-1,KR7),HolidayList[Date],1,0)))),TRUE,FALSE),FALSE)</f>
        <v>0</v>
      </c>
      <c r="KS6" s="16" t="b">
        <f>IFERROR(IF(AND(VLOOKUP(KS8,$NX$25:$NY$32,2,0)="Yes",NOT(ISNUMBER(VLOOKUP(DATE($B$4,$B$5+$B$3-1,KS7),HolidayList[Date],1,0)))),TRUE,FALSE),FALSE)</f>
        <v>0</v>
      </c>
      <c r="KT6" s="16" t="b">
        <f>IFERROR(IF(AND(VLOOKUP(KT8,$NX$25:$NY$32,2,0)="Yes",NOT(ISNUMBER(VLOOKUP(DATE($B$4,$B$5+$B$3-1,KT7),HolidayList[Date],1,0)))),TRUE,FALSE),FALSE)</f>
        <v>0</v>
      </c>
      <c r="KU6" s="16" t="b">
        <f>IFERROR(IF(AND(VLOOKUP(KU8,$NX$25:$NY$32,2,0)="Yes",NOT(ISNUMBER(VLOOKUP(DATE($B$4,$B$5+$B$3-1,KU7),HolidayList[Date],1,0)))),TRUE,FALSE),FALSE)</f>
        <v>0</v>
      </c>
      <c r="KV6" s="16" t="b">
        <f>IFERROR(IF(AND(VLOOKUP(KV8,$NX$25:$NY$32,2,0)="Yes",NOT(ISNUMBER(VLOOKUP(DATE($B$4,$B$5+$B$3-1,KV7),HolidayList[Date],1,0)))),TRUE,FALSE),FALSE)</f>
        <v>0</v>
      </c>
      <c r="KW6" s="16" t="b">
        <f>IFERROR(IF(AND(VLOOKUP(KW8,$NX$25:$NY$32,2,0)="Yes",NOT(ISNUMBER(VLOOKUP(DATE($B$4,$B$5+$B$3-1,KW7),HolidayList[Date],1,0)))),TRUE,FALSE),FALSE)</f>
        <v>0</v>
      </c>
      <c r="KX6" s="16" t="b">
        <f>IFERROR(IF(AND(VLOOKUP(KX8,$NX$25:$NY$32,2,0)="Yes",NOT(ISNUMBER(VLOOKUP(DATE($B$4,$B$5+$B$3-1,KX7),HolidayList[Date],1,0)))),TRUE,FALSE),FALSE)</f>
        <v>0</v>
      </c>
      <c r="KY6" s="16" t="b">
        <f>IFERROR(IF(AND(VLOOKUP(KY8,$NX$25:$NY$32,2,0)="Yes",NOT(ISNUMBER(VLOOKUP(DATE($B$4,$B$5+$B$3-1,KY7),HolidayList[Date],1,0)))),TRUE,FALSE),FALSE)</f>
        <v>0</v>
      </c>
      <c r="KZ6" s="16" t="b">
        <f>IFERROR(IF(AND(VLOOKUP(KZ8,$NX$25:$NY$32,2,0)="Yes",NOT(ISNUMBER(VLOOKUP(DATE($B$4,$B$5+$B$3-1,KZ7),HolidayList[Date],1,0)))),TRUE,FALSE),FALSE)</f>
        <v>0</v>
      </c>
      <c r="LA6" s="16" t="b">
        <f>IFERROR(IF(AND(VLOOKUP(LA8,$NX$25:$NY$32,2,0)="Yes",NOT(ISNUMBER(VLOOKUP(DATE($B$4,$B$5+$B$3-1,LA7),HolidayList[Date],1,0)))),TRUE,FALSE),FALSE)</f>
        <v>0</v>
      </c>
      <c r="LB6" s="16" t="b">
        <f>IFERROR(IF(AND(VLOOKUP(LB8,$NX$25:$NY$32,2,0)="Yes",NOT(ISNUMBER(VLOOKUP(DATE($B$4,$B$5+$B$3-1,LB7),HolidayList[Date],1,0)))),TRUE,FALSE),FALSE)</f>
        <v>0</v>
      </c>
      <c r="LC6" s="16" t="b">
        <f>IFERROR(IF(AND(VLOOKUP(LC8,$NX$25:$NY$32,2,0)="Yes",NOT(ISNUMBER(VLOOKUP(DATE($B$4,$B$5+$B$3-1,LC7),HolidayList[Date],1,0)))),TRUE,FALSE),FALSE)</f>
        <v>0</v>
      </c>
      <c r="LD6" s="16" t="b">
        <f>IFERROR(IF(AND(VLOOKUP(LD8,$NX$25:$NY$32,2,0)="Yes",NOT(ISNUMBER(VLOOKUP(DATE($B$4,$B$5+$B$3-1,LD7),HolidayList[Date],1,0)))),TRUE,FALSE),FALSE)</f>
        <v>0</v>
      </c>
      <c r="LE6" s="16" t="b">
        <f>IFERROR(IF(AND(VLOOKUP(LE8,$NX$25:$NY$32,2,0)="Yes",NOT(ISNUMBER(VLOOKUP(DATE($B$4,$B$5+$B$3-1,LE7),HolidayList[Date],1,0)))),TRUE,FALSE),FALSE)</f>
        <v>0</v>
      </c>
      <c r="LF6" s="16" t="b">
        <f>IFERROR(IF(AND(VLOOKUP(LF8,$NX$25:$NY$32,2,0)="Yes",NOT(ISNUMBER(VLOOKUP(DATE($B$4,$B$5+$B$3-1,LF7),HolidayList[Date],1,0)))),TRUE,FALSE),FALSE)</f>
        <v>0</v>
      </c>
      <c r="LG6" s="16" t="b">
        <f>IFERROR(IF(AND(VLOOKUP(LG8,$NX$25:$NY$32,2,0)="Yes",NOT(ISNUMBER(VLOOKUP(DATE($B$4,$B$5+$B$3-1,LG7),HolidayList[Date],1,0)))),TRUE,FALSE),FALSE)</f>
        <v>0</v>
      </c>
      <c r="LH6" s="16" t="b">
        <f>IFERROR(IF(AND(VLOOKUP(LH8,$NX$25:$NY$32,2,0)="Yes",NOT(ISNUMBER(VLOOKUP(DATE($B$4,$B$5+$B$3-1,LH7),HolidayList[Date],1,0)))),TRUE,FALSE),FALSE)</f>
        <v>0</v>
      </c>
      <c r="LI6" s="16" t="b">
        <f>IFERROR(IF(AND(VLOOKUP(LI8,$NX$25:$NY$32,2,0)="Yes",NOT(ISNUMBER(VLOOKUP(DATE($B$4,$B$5+$B$3-1,LI7),HolidayList[Date],1,0)))),TRUE,FALSE),FALSE)</f>
        <v>0</v>
      </c>
      <c r="LJ6" s="16" t="b">
        <f>IFERROR(IF(AND(VLOOKUP(LJ8,$NX$25:$NY$32,2,0)="Yes",NOT(ISNUMBER(VLOOKUP(DATE($B$4,$B$5+$B$3-1,LJ7),HolidayList[Date],1,0)))),TRUE,FALSE),FALSE)</f>
        <v>0</v>
      </c>
      <c r="LK6" s="16" t="b">
        <f>IFERROR(IF(AND(VLOOKUP(LK8,$NX$25:$NY$32,2,0)="Yes",NOT(ISNUMBER(VLOOKUP(DATE($B$4,$B$5+$B$3-1,LK7),HolidayList[Date],1,0)))),TRUE,FALSE),FALSE)</f>
        <v>0</v>
      </c>
      <c r="LL6" s="16" t="b">
        <f>IFERROR(IF(AND(VLOOKUP(LL8,$NX$25:$NY$32,2,0)="Yes",NOT(ISNUMBER(VLOOKUP(DATE($B$4,$B$5+$B$3-1,LL7),HolidayList[Date],1,0)))),TRUE,FALSE),FALSE)</f>
        <v>0</v>
      </c>
      <c r="LM6" s="16" t="b">
        <f>IFERROR(IF(AND(VLOOKUP(LM8,$NX$25:$NY$32,2,0)="Yes",NOT(ISNUMBER(VLOOKUP(DATE($B$4,$B$5+$B$3-1,LM7),HolidayList[Date],1,0)))),TRUE,FALSE),FALSE)</f>
        <v>0</v>
      </c>
      <c r="LN6" s="16" t="b">
        <f>IFERROR(IF(AND(VLOOKUP(LN8,$NX$25:$NY$32,2,0)="Yes",NOT(ISNUMBER(VLOOKUP(DATE($B$4,$B$5+$B$3-1,LN7),HolidayList[Date],1,0)))),TRUE,FALSE),FALSE)</f>
        <v>0</v>
      </c>
      <c r="LO6" s="16" t="b">
        <f>IFERROR(IF(AND(VLOOKUP(LO8,$NX$25:$NY$32,2,0)="Yes",NOT(ISNUMBER(VLOOKUP(DATE($B$4,$B$5+$B$3-1,LO7),HolidayList[Date],1,0)))),TRUE,FALSE),FALSE)</f>
        <v>0</v>
      </c>
      <c r="LP6" s="16" t="b">
        <f>IFERROR(IF(AND(VLOOKUP(LP8,$NX$25:$NY$32,2,0)="Yes",NOT(ISNUMBER(VLOOKUP(DATE($B$4,$B$5+$B$3-1,LP7),HolidayList[Date],1,0)))),TRUE,FALSE),FALSE)</f>
        <v>0</v>
      </c>
      <c r="LQ6" s="16" t="b">
        <f>IFERROR(IF(AND(VLOOKUP(LQ8,$NX$25:$NY$32,2,0)="Yes",NOT(ISNUMBER(VLOOKUP(DATE($B$4,$B$5+$B$3-1,LQ7),HolidayList[Date],1,0)))),TRUE,FALSE),FALSE)</f>
        <v>0</v>
      </c>
      <c r="LR6" s="16" t="b">
        <f>IFERROR(IF(AND(VLOOKUP(LR8,$NX$25:$NY$32,2,0)="Yes",NOT(ISNUMBER(VLOOKUP(DATE($B$4,$B$5+$B$3-1,LR7),HolidayList[Date],1,0)))),TRUE,FALSE),FALSE)</f>
        <v>0</v>
      </c>
      <c r="LS6" s="16" t="b">
        <f>IFERROR(IF(AND(VLOOKUP(LS8,$NX$25:$NY$32,2,0)="Yes",NOT(ISNUMBER(VLOOKUP(DATE($B$4,$B$5+$B$3-1,LS7),HolidayList[Date],1,0)))),TRUE,FALSE),FALSE)</f>
        <v>0</v>
      </c>
      <c r="LT6" s="16" t="b">
        <f>IFERROR(IF(AND(VLOOKUP(LT8,$NX$25:$NY$32,2,0)="Yes",NOT(ISNUMBER(VLOOKUP(DATE($B$4,$B$5+$B$3-1,LT7),HolidayList[Date],1,0)))),TRUE,FALSE),FALSE)</f>
        <v>0</v>
      </c>
      <c r="LU6" s="16" t="b">
        <f>IFERROR(IF(AND(VLOOKUP(LU8,$NX$25:$NY$32,2,0)="Yes",NOT(ISNUMBER(VLOOKUP(DATE($B$4,$B$5+$B$3-1,LU7),HolidayList[Date],1,0)))),TRUE,FALSE),FALSE)</f>
        <v>0</v>
      </c>
      <c r="LV6" s="16" t="b">
        <f>IFERROR(IF(AND(VLOOKUP(LV8,$NX$25:$NY$32,2,0)="Yes",NOT(ISNUMBER(VLOOKUP(DATE($B$4,$B$5+$B$3-1,LV7),HolidayList[Date],1,0)))),TRUE,FALSE),FALSE)</f>
        <v>0</v>
      </c>
      <c r="LW6" s="16" t="b">
        <f>IFERROR(IF(AND(VLOOKUP(LW8,$NX$25:$NY$32,2,0)="Yes",NOT(ISNUMBER(VLOOKUP(DATE($B$4,$B$5+$B$3-1,LW7),HolidayList[Date],1,0)))),TRUE,FALSE),FALSE)</f>
        <v>0</v>
      </c>
      <c r="LX6" s="16" t="b">
        <f>IFERROR(IF(AND(VLOOKUP(LX8,$NX$25:$NY$32,2,0)="Yes",NOT(ISNUMBER(VLOOKUP(DATE($B$4,$B$5+$B$3-1,LX7),HolidayList[Date],1,0)))),TRUE,FALSE),FALSE)</f>
        <v>0</v>
      </c>
      <c r="LY6" s="16" t="b">
        <f>IFERROR(IF(AND(VLOOKUP(LY8,$NX$25:$NY$32,2,0)="Yes",NOT(ISNUMBER(VLOOKUP(DATE($B$4,$B$5+$B$3-1,LY7),HolidayList[Date],1,0)))),TRUE,FALSE),FALSE)</f>
        <v>0</v>
      </c>
      <c r="LZ6" s="16" t="b">
        <f>IFERROR(IF(AND(VLOOKUP(LZ8,$NX$25:$NY$32,2,0)="Yes",NOT(ISNUMBER(VLOOKUP(DATE($B$4,$B$5+$B$3-1,LZ7),HolidayList[Date],1,0)))),TRUE,FALSE),FALSE)</f>
        <v>0</v>
      </c>
      <c r="MA6" s="16" t="b">
        <f>IFERROR(IF(AND(VLOOKUP(MA8,$NX$25:$NY$32,2,0)="Yes",NOT(ISNUMBER(VLOOKUP(DATE($B$4,$B$5+$B$3-1,MA7),HolidayList[Date],1,0)))),TRUE,FALSE),FALSE)</f>
        <v>0</v>
      </c>
      <c r="MB6" s="16" t="b">
        <f>IFERROR(IF(AND(VLOOKUP(MB8,$NX$25:$NY$32,2,0)="Yes",NOT(ISNUMBER(VLOOKUP(DATE($B$4,$B$5+$B$3-1,MB7),HolidayList[Date],1,0)))),TRUE,FALSE),FALSE)</f>
        <v>0</v>
      </c>
      <c r="MC6" s="16" t="b">
        <f>IFERROR(IF(AND(VLOOKUP(MC8,$NX$25:$NY$32,2,0)="Yes",NOT(ISNUMBER(VLOOKUP(DATE($B$4,$B$5+$B$3-1,MC7),HolidayList[Date],1,0)))),TRUE,FALSE),FALSE)</f>
        <v>0</v>
      </c>
      <c r="MD6" s="16" t="b">
        <f>IFERROR(IF(AND(VLOOKUP(MD8,$NX$25:$NY$32,2,0)="Yes",NOT(ISNUMBER(VLOOKUP(DATE($B$4,$B$5+$B$3-1,MD7),HolidayList[Date],1,0)))),TRUE,FALSE),FALSE)</f>
        <v>0</v>
      </c>
      <c r="ME6" s="16" t="b">
        <f>IFERROR(IF(AND(VLOOKUP(ME8,$NX$25:$NY$32,2,0)="Yes",NOT(ISNUMBER(VLOOKUP(DATE($B$4,$B$5+$B$3-1,ME7),HolidayList[Date],1,0)))),TRUE,FALSE),FALSE)</f>
        <v>1</v>
      </c>
      <c r="MF6" s="16" t="b">
        <f>IFERROR(IF(AND(VLOOKUP(MF8,$NX$25:$NY$32,2,0)="Yes",NOT(ISNUMBER(VLOOKUP(DATE($B$4,$B$5+$B$3-1,MF7),HolidayList[Date],1,0)))),TRUE,FALSE),FALSE)</f>
        <v>1</v>
      </c>
      <c r="MG6" s="16" t="b">
        <f>IFERROR(IF(AND(VLOOKUP(MG8,$NX$25:$NY$32,2,0)="Yes",NOT(ISNUMBER(VLOOKUP(DATE($B$4,$B$5+$B$3-1,MG7),HolidayList[Date],1,0)))),TRUE,FALSE),FALSE)</f>
        <v>0</v>
      </c>
      <c r="MH6" s="16" t="b">
        <f>IFERROR(IF(AND(VLOOKUP(MH8,$NX$25:$NY$32,2,0)="Yes",NOT(ISNUMBER(VLOOKUP(DATE($B$4,$B$5+$B$3-1,MH7),HolidayList[Date],1,0)))),TRUE,FALSE),FALSE)</f>
        <v>0</v>
      </c>
      <c r="MI6" s="16" t="b">
        <f>IFERROR(IF(AND(VLOOKUP(MI8,$NX$25:$NY$32,2,0)="Yes",NOT(ISNUMBER(VLOOKUP(DATE($B$4,$B$5+$B$3-1,MI7),HolidayList[Date],1,0)))),TRUE,FALSE),FALSE)</f>
        <v>1</v>
      </c>
      <c r="MJ6" s="16" t="b">
        <f>IFERROR(IF(AND(VLOOKUP(MJ8,$NX$25:$NY$32,2,0)="Yes",NOT(ISNUMBER(VLOOKUP(DATE($B$4,$B$5+$B$3-1,MJ7),HolidayList[Date],1,0)))),TRUE,FALSE),FALSE)</f>
        <v>1</v>
      </c>
      <c r="MK6" s="16" t="b">
        <f>IFERROR(IF(AND(VLOOKUP(MK8,$NX$25:$NY$32,2,0)="Yes",NOT(ISNUMBER(VLOOKUP(DATE($B$4,$B$5+$B$3-1,MK7),HolidayList[Date],1,0)))),TRUE,FALSE),FALSE)</f>
        <v>1</v>
      </c>
      <c r="ML6" s="16" t="b">
        <f>IFERROR(IF(AND(VLOOKUP(ML8,$NX$25:$NY$32,2,0)="Yes",NOT(ISNUMBER(VLOOKUP(DATE($B$4,$B$5+$B$3-1,ML7),HolidayList[Date],1,0)))),TRUE,FALSE),FALSE)</f>
        <v>1</v>
      </c>
      <c r="MM6" s="16" t="b">
        <f>IFERROR(IF(AND(VLOOKUP(MM8,$NX$25:$NY$32,2,0)="Yes",NOT(ISNUMBER(VLOOKUP(DATE($B$4,$B$5+$B$3-1,MM7),HolidayList[Date],1,0)))),TRUE,FALSE),FALSE)</f>
        <v>1</v>
      </c>
      <c r="MN6" s="16" t="b">
        <f>IFERROR(IF(AND(VLOOKUP(MN8,$NX$25:$NY$32,2,0)="Yes",NOT(ISNUMBER(VLOOKUP(DATE($B$4,$B$5+$B$3-1,MN7),HolidayList[Date],1,0)))),TRUE,FALSE),FALSE)</f>
        <v>0</v>
      </c>
      <c r="MO6" s="16" t="b">
        <f>IFERROR(IF(AND(VLOOKUP(MO8,$NX$25:$NY$32,2,0)="Yes",NOT(ISNUMBER(VLOOKUP(DATE($B$4,$B$5+$B$3-1,MO7),HolidayList[Date],1,0)))),TRUE,FALSE),FALSE)</f>
        <v>0</v>
      </c>
      <c r="MP6" s="16" t="b">
        <f>IFERROR(IF(AND(VLOOKUP(MP8,$NX$25:$NY$32,2,0)="Yes",NOT(ISNUMBER(VLOOKUP(DATE($B$4,$B$5+$B$3-1,MP7),HolidayList[Date],1,0)))),TRUE,FALSE),FALSE)</f>
        <v>1</v>
      </c>
      <c r="MQ6" s="16" t="b">
        <f>IFERROR(IF(AND(VLOOKUP(MQ8,$NX$25:$NY$32,2,0)="Yes",NOT(ISNUMBER(VLOOKUP(DATE($B$4,$B$5+$B$3-1,MQ7),HolidayList[Date],1,0)))),TRUE,FALSE),FALSE)</f>
        <v>1</v>
      </c>
      <c r="MR6" s="16" t="b">
        <f>IFERROR(IF(AND(VLOOKUP(MR8,$NX$25:$NY$32,2,0)="Yes",NOT(ISNUMBER(VLOOKUP(DATE($B$4,$B$5+$B$3-1,MR7),HolidayList[Date],1,0)))),TRUE,FALSE),FALSE)</f>
        <v>1</v>
      </c>
      <c r="MS6" s="16" t="b">
        <f>IFERROR(IF(AND(VLOOKUP(MS8,$NX$25:$NY$32,2,0)="Yes",NOT(ISNUMBER(VLOOKUP(DATE($B$4,$B$5+$B$3-1,MS7),HolidayList[Date],1,0)))),TRUE,FALSE),FALSE)</f>
        <v>1</v>
      </c>
      <c r="MT6" s="16" t="b">
        <f>IFERROR(IF(AND(VLOOKUP(MT8,$NX$25:$NY$32,2,0)="Yes",NOT(ISNUMBER(VLOOKUP(DATE($B$4,$B$5+$B$3-1,MT7),HolidayList[Date],1,0)))),TRUE,FALSE),FALSE)</f>
        <v>1</v>
      </c>
      <c r="MU6" s="16" t="b">
        <f>IFERROR(IF(AND(VLOOKUP(MU8,$NX$25:$NY$32,2,0)="Yes",NOT(ISNUMBER(VLOOKUP(DATE($B$4,$B$5+$B$3-1,MU7),HolidayList[Date],1,0)))),TRUE,FALSE),FALSE)</f>
        <v>0</v>
      </c>
      <c r="MV6" s="16" t="b">
        <f>IFERROR(IF(AND(VLOOKUP(MV8,$NX$25:$NY$32,2,0)="Yes",NOT(ISNUMBER(VLOOKUP(DATE($B$4,$B$5+$B$3-1,MV7),HolidayList[Date],1,0)))),TRUE,FALSE),FALSE)</f>
        <v>0</v>
      </c>
      <c r="MW6" s="16" t="b">
        <f>IFERROR(IF(AND(VLOOKUP(MW8,$NX$25:$NY$32,2,0)="Yes",NOT(ISNUMBER(VLOOKUP(DATE($B$4,$B$5+$B$3-1,MW7),HolidayList[Date],1,0)))),TRUE,FALSE),FALSE)</f>
        <v>1</v>
      </c>
      <c r="MX6" s="16" t="b">
        <f>IFERROR(IF(AND(VLOOKUP(MX8,$NX$25:$NY$32,2,0)="Yes",NOT(ISNUMBER(VLOOKUP(DATE($B$4,$B$5+$B$3-1,MX7),HolidayList[Date],1,0)))),TRUE,FALSE),FALSE)</f>
        <v>1</v>
      </c>
      <c r="MY6" s="16" t="b">
        <f>IFERROR(IF(AND(VLOOKUP(MY8,$NX$25:$NY$32,2,0)="Yes",NOT(ISNUMBER(VLOOKUP(DATE($B$4,$B$5+$B$3-1,MY7),HolidayList[Date],1,0)))),TRUE,FALSE),FALSE)</f>
        <v>1</v>
      </c>
      <c r="MZ6" s="16" t="b">
        <f>IFERROR(IF(AND(VLOOKUP(MZ8,$NX$25:$NY$32,2,0)="Yes",NOT(ISNUMBER(VLOOKUP(DATE($B$4,$B$5+$B$3-1,MZ7),HolidayList[Date],1,0)))),TRUE,FALSE),FALSE)</f>
        <v>1</v>
      </c>
      <c r="NA6" s="16" t="b">
        <f>IFERROR(IF(AND(VLOOKUP(NA8,$NX$25:$NY$32,2,0)="Yes",NOT(ISNUMBER(VLOOKUP(DATE($B$4,$B$5+$B$3-1,NA7),HolidayList[Date],1,0)))),TRUE,FALSE),FALSE)</f>
        <v>1</v>
      </c>
      <c r="NB6" s="16" t="b">
        <f>IFERROR(IF(AND(VLOOKUP(NB8,$NX$25:$NY$32,2,0)="Yes",NOT(ISNUMBER(VLOOKUP(DATE($B$4,$B$5+$B$3-1,NB7),HolidayList[Date],1,0)))),TRUE,FALSE),FALSE)</f>
        <v>0</v>
      </c>
      <c r="NC6" s="16" t="b">
        <f>IFERROR(IF(AND(VLOOKUP(NC8,$NX$25:$NY$32,2,0)="Yes",NOT(ISNUMBER(VLOOKUP(DATE($B$4,$B$5+$B$3-1,NC7),HolidayList[Date],1,0)))),TRUE,FALSE),FALSE)</f>
        <v>0</v>
      </c>
      <c r="ND6" s="16" t="b">
        <f>IFERROR(IF(AND(VLOOKUP(ND8,$NX$25:$NY$32,2,0)="Yes",NOT(ISNUMBER(VLOOKUP(DATE($B$4,$B$5+$B$3-1,ND7),HolidayList[Date],1,0)))),TRUE,FALSE),FALSE)</f>
        <v>0</v>
      </c>
      <c r="NE6" s="16" t="b">
        <f>IFERROR(IF(AND(VLOOKUP(NE8,$NX$25:$NY$32,2,0)="Yes",NOT(ISNUMBER(VLOOKUP(DATE($B$4,$B$5+$B$3-1,NE7),HolidayList[Date],1,0)))),TRUE,FALSE),FALSE)</f>
        <v>1</v>
      </c>
      <c r="NF6" s="16" t="b">
        <f>IFERROR(IF(AND(VLOOKUP(NF8,$NX$25:$NY$32,2,0)="Yes",NOT(ISNUMBER(VLOOKUP(DATE($B$4,$B$5+$B$3-1,NF7),HolidayList[Date],1,0)))),TRUE,FALSE),FALSE)</f>
        <v>1</v>
      </c>
      <c r="NG6" s="16" t="b">
        <f>IFERROR(IF(AND(VLOOKUP(NG8,$NX$25:$NY$32,2,0)="Yes",NOT(ISNUMBER(VLOOKUP(DATE($B$4,$B$5+$B$3-1,NG7),HolidayList[Date],1,0)))),TRUE,FALSE),FALSE)</f>
        <v>1</v>
      </c>
      <c r="NH6" s="16" t="b">
        <f>IFERROR(IF(AND(VLOOKUP(NH8,$NX$25:$NY$32,2,0)="Yes",NOT(ISNUMBER(VLOOKUP(DATE($B$4,$B$5+$B$3-1,NH7),HolidayList[Date],1,0)))),TRUE,FALSE),FALSE)</f>
        <v>1</v>
      </c>
      <c r="NI6" s="16" t="b">
        <f>IFERROR(IF(AND(VLOOKUP(NI8,$NX$25:$NY$32,2,0)="Yes",NOT(ISNUMBER(VLOOKUP(DATE($B$4,$B$5+$B$3-1,NI7),HolidayList[Date],1,0)))),TRUE,FALSE),FALSE)</f>
        <v>0</v>
      </c>
      <c r="NJ6" s="16" t="b">
        <f>IFERROR(IF(AND(VLOOKUP(NJ8,$NX$25:$NY$32,2,0)="Yes",NOT(ISNUMBER(VLOOKUP(DATE($B$4,$B$5+$B$3-1,NJ7),HolidayList[Date],1,0)))),TRUE,FALSE),FALSE)</f>
        <v>0</v>
      </c>
      <c r="NM6" s="86" t="s">
        <v>34</v>
      </c>
      <c r="NN6" s="87"/>
      <c r="NO6" s="87"/>
      <c r="NP6" s="87"/>
      <c r="NQ6" s="87"/>
      <c r="NR6" s="87"/>
      <c r="NS6" s="87"/>
    </row>
    <row r="7" spans="1:762" x14ac:dyDescent="0.35">
      <c r="B7" s="25"/>
      <c r="C7" s="26" t="str">
        <f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D7" s="26" t="str">
        <f t="shared" ref="D7:BN7" si="0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E7" s="26" t="str">
        <f t="shared" si="0"/>
        <v/>
      </c>
      <c r="F7" s="26" t="str">
        <f t="shared" si="0"/>
        <v/>
      </c>
      <c r="G7" s="26" t="str">
        <f t="shared" si="0"/>
        <v/>
      </c>
      <c r="H7" s="26" t="str">
        <f t="shared" si="0"/>
        <v/>
      </c>
      <c r="I7" s="26" t="str">
        <f t="shared" si="0"/>
        <v/>
      </c>
      <c r="J7" s="26" t="str">
        <f t="shared" si="0"/>
        <v/>
      </c>
      <c r="K7" s="26" t="str">
        <f t="shared" si="0"/>
        <v/>
      </c>
      <c r="L7" s="26" t="str">
        <f t="shared" si="0"/>
        <v/>
      </c>
      <c r="M7" s="26" t="str">
        <f t="shared" si="0"/>
        <v/>
      </c>
      <c r="N7" s="26" t="str">
        <f t="shared" si="0"/>
        <v/>
      </c>
      <c r="O7" s="26" t="str">
        <f t="shared" si="0"/>
        <v/>
      </c>
      <c r="P7" s="26" t="str">
        <f t="shared" si="0"/>
        <v/>
      </c>
      <c r="Q7" s="26" t="str">
        <f t="shared" si="0"/>
        <v/>
      </c>
      <c r="R7" s="26" t="str">
        <f t="shared" si="0"/>
        <v/>
      </c>
      <c r="S7" s="26" t="str">
        <f t="shared" si="0"/>
        <v/>
      </c>
      <c r="T7" s="26" t="str">
        <f t="shared" si="0"/>
        <v/>
      </c>
      <c r="U7" s="26" t="str">
        <f t="shared" si="0"/>
        <v/>
      </c>
      <c r="V7" s="26" t="str">
        <f t="shared" si="0"/>
        <v/>
      </c>
      <c r="W7" s="26" t="str">
        <f t="shared" si="0"/>
        <v/>
      </c>
      <c r="X7" s="26" t="str">
        <f t="shared" si="0"/>
        <v/>
      </c>
      <c r="Y7" s="26" t="str">
        <f t="shared" si="0"/>
        <v/>
      </c>
      <c r="Z7" s="26" t="str">
        <f t="shared" si="0"/>
        <v/>
      </c>
      <c r="AA7" s="26" t="str">
        <f t="shared" si="0"/>
        <v/>
      </c>
      <c r="AB7" s="26" t="str">
        <f t="shared" si="0"/>
        <v/>
      </c>
      <c r="AC7" s="26" t="str">
        <f t="shared" si="0"/>
        <v/>
      </c>
      <c r="AD7" s="26" t="str">
        <f t="shared" si="0"/>
        <v/>
      </c>
      <c r="AE7" s="26" t="str">
        <f t="shared" si="0"/>
        <v/>
      </c>
      <c r="AF7" s="26" t="str">
        <f t="shared" si="0"/>
        <v/>
      </c>
      <c r="AG7" s="26" t="str">
        <f t="shared" si="0"/>
        <v/>
      </c>
      <c r="AH7" s="7" t="str">
        <f t="shared" si="0"/>
        <v/>
      </c>
      <c r="AI7" s="7" t="str">
        <f t="shared" si="0"/>
        <v/>
      </c>
      <c r="AJ7" s="7" t="str">
        <f t="shared" si="0"/>
        <v/>
      </c>
      <c r="AK7" s="7" t="str">
        <f t="shared" si="0"/>
        <v/>
      </c>
      <c r="AL7" s="7" t="str">
        <f t="shared" si="0"/>
        <v/>
      </c>
      <c r="AM7" s="7" t="str">
        <f t="shared" si="0"/>
        <v/>
      </c>
      <c r="AN7" s="7" t="str">
        <f t="shared" si="0"/>
        <v/>
      </c>
      <c r="AO7" s="7" t="str">
        <f t="shared" si="0"/>
        <v/>
      </c>
      <c r="AP7" s="7" t="str">
        <f t="shared" si="0"/>
        <v/>
      </c>
      <c r="AQ7" s="7" t="str">
        <f t="shared" si="0"/>
        <v/>
      </c>
      <c r="AR7" s="7" t="str">
        <f t="shared" si="0"/>
        <v/>
      </c>
      <c r="AS7" s="7" t="str">
        <f t="shared" si="0"/>
        <v/>
      </c>
      <c r="AT7" s="7" t="str">
        <f t="shared" si="0"/>
        <v/>
      </c>
      <c r="AU7" s="7" t="str">
        <f t="shared" si="0"/>
        <v/>
      </c>
      <c r="AV7" s="7" t="str">
        <f t="shared" si="0"/>
        <v/>
      </c>
      <c r="AW7" s="7" t="str">
        <f t="shared" si="0"/>
        <v/>
      </c>
      <c r="AX7" s="7" t="str">
        <f t="shared" si="0"/>
        <v/>
      </c>
      <c r="AY7" s="7" t="str">
        <f t="shared" si="0"/>
        <v/>
      </c>
      <c r="AZ7" s="7" t="str">
        <f t="shared" si="0"/>
        <v/>
      </c>
      <c r="BA7" s="7" t="str">
        <f t="shared" si="0"/>
        <v/>
      </c>
      <c r="BB7" s="7" t="str">
        <f t="shared" si="0"/>
        <v/>
      </c>
      <c r="BC7" s="7" t="str">
        <f t="shared" si="0"/>
        <v/>
      </c>
      <c r="BD7" s="7" t="str">
        <f t="shared" si="0"/>
        <v/>
      </c>
      <c r="BE7" s="7" t="str">
        <f t="shared" si="0"/>
        <v/>
      </c>
      <c r="BF7" s="7" t="str">
        <f t="shared" si="0"/>
        <v/>
      </c>
      <c r="BG7" s="7" t="str">
        <f t="shared" si="0"/>
        <v/>
      </c>
      <c r="BH7" s="7" t="str">
        <f t="shared" si="0"/>
        <v/>
      </c>
      <c r="BI7" s="7" t="str">
        <f t="shared" si="0"/>
        <v/>
      </c>
      <c r="BJ7" s="7" t="str">
        <f t="shared" si="0"/>
        <v/>
      </c>
      <c r="BK7" s="7" t="str">
        <f t="shared" si="0"/>
        <v/>
      </c>
      <c r="BL7" s="7" t="str">
        <f t="shared" si="0"/>
        <v/>
      </c>
      <c r="BM7" s="7" t="str">
        <f t="shared" si="0"/>
        <v/>
      </c>
      <c r="BN7" s="7" t="str">
        <f t="shared" si="0"/>
        <v/>
      </c>
      <c r="BO7" s="7" t="str">
        <f t="shared" ref="BO7:DZ7" si="1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BP7" s="7" t="str">
        <f t="shared" si="1"/>
        <v/>
      </c>
      <c r="BQ7" s="7" t="str">
        <f t="shared" si="1"/>
        <v/>
      </c>
      <c r="BR7" s="7" t="str">
        <f t="shared" si="1"/>
        <v/>
      </c>
      <c r="BS7" s="7" t="str">
        <f t="shared" si="1"/>
        <v/>
      </c>
      <c r="BT7" s="7" t="str">
        <f t="shared" si="1"/>
        <v/>
      </c>
      <c r="BU7" s="7" t="str">
        <f t="shared" si="1"/>
        <v/>
      </c>
      <c r="BV7" s="7" t="str">
        <f t="shared" si="1"/>
        <v/>
      </c>
      <c r="BW7" s="7" t="str">
        <f t="shared" si="1"/>
        <v/>
      </c>
      <c r="BX7" s="7" t="str">
        <f t="shared" si="1"/>
        <v/>
      </c>
      <c r="BY7" s="7" t="str">
        <f t="shared" si="1"/>
        <v/>
      </c>
      <c r="BZ7" s="7" t="str">
        <f t="shared" si="1"/>
        <v/>
      </c>
      <c r="CA7" s="7" t="str">
        <f t="shared" si="1"/>
        <v/>
      </c>
      <c r="CB7" s="7" t="str">
        <f t="shared" si="1"/>
        <v/>
      </c>
      <c r="CC7" s="7" t="str">
        <f t="shared" si="1"/>
        <v/>
      </c>
      <c r="CD7" s="7" t="str">
        <f t="shared" si="1"/>
        <v/>
      </c>
      <c r="CE7" s="7" t="str">
        <f t="shared" si="1"/>
        <v/>
      </c>
      <c r="CF7" s="7" t="str">
        <f t="shared" si="1"/>
        <v/>
      </c>
      <c r="CG7" s="7" t="str">
        <f t="shared" si="1"/>
        <v/>
      </c>
      <c r="CH7" s="7" t="str">
        <f t="shared" si="1"/>
        <v/>
      </c>
      <c r="CI7" s="7" t="str">
        <f t="shared" si="1"/>
        <v/>
      </c>
      <c r="CJ7" s="7" t="str">
        <f t="shared" si="1"/>
        <v/>
      </c>
      <c r="CK7" s="7" t="str">
        <f t="shared" si="1"/>
        <v/>
      </c>
      <c r="CL7" s="7" t="str">
        <f t="shared" si="1"/>
        <v/>
      </c>
      <c r="CM7" s="7" t="str">
        <f t="shared" si="1"/>
        <v/>
      </c>
      <c r="CN7" s="7" t="str">
        <f t="shared" si="1"/>
        <v/>
      </c>
      <c r="CO7" s="7" t="str">
        <f t="shared" si="1"/>
        <v/>
      </c>
      <c r="CP7" s="7" t="str">
        <f t="shared" si="1"/>
        <v/>
      </c>
      <c r="CQ7" s="7" t="str">
        <f t="shared" si="1"/>
        <v/>
      </c>
      <c r="CR7" s="7" t="str">
        <f t="shared" si="1"/>
        <v/>
      </c>
      <c r="CS7" s="7" t="str">
        <f t="shared" si="1"/>
        <v/>
      </c>
      <c r="CT7" s="7" t="str">
        <f t="shared" si="1"/>
        <v/>
      </c>
      <c r="CU7" s="7" t="str">
        <f t="shared" si="1"/>
        <v/>
      </c>
      <c r="CV7" s="7" t="str">
        <f t="shared" si="1"/>
        <v/>
      </c>
      <c r="CW7" s="7" t="str">
        <f t="shared" si="1"/>
        <v/>
      </c>
      <c r="CX7" s="7" t="str">
        <f t="shared" si="1"/>
        <v/>
      </c>
      <c r="CY7" s="7" t="str">
        <f t="shared" si="1"/>
        <v/>
      </c>
      <c r="CZ7" s="7" t="str">
        <f t="shared" si="1"/>
        <v/>
      </c>
      <c r="DA7" s="7" t="str">
        <f t="shared" si="1"/>
        <v/>
      </c>
      <c r="DB7" s="7" t="str">
        <f t="shared" si="1"/>
        <v/>
      </c>
      <c r="DC7" s="7" t="str">
        <f t="shared" si="1"/>
        <v/>
      </c>
      <c r="DD7" s="7" t="str">
        <f t="shared" si="1"/>
        <v/>
      </c>
      <c r="DE7" s="7" t="str">
        <f t="shared" si="1"/>
        <v/>
      </c>
      <c r="DF7" s="7" t="str">
        <f t="shared" si="1"/>
        <v/>
      </c>
      <c r="DG7" s="7" t="str">
        <f t="shared" si="1"/>
        <v/>
      </c>
      <c r="DH7" s="7" t="str">
        <f t="shared" si="1"/>
        <v/>
      </c>
      <c r="DI7" s="7" t="str">
        <f t="shared" si="1"/>
        <v/>
      </c>
      <c r="DJ7" s="7" t="str">
        <f t="shared" si="1"/>
        <v/>
      </c>
      <c r="DK7" s="7" t="str">
        <f t="shared" si="1"/>
        <v/>
      </c>
      <c r="DL7" s="7" t="str">
        <f t="shared" si="1"/>
        <v/>
      </c>
      <c r="DM7" s="7" t="str">
        <f t="shared" si="1"/>
        <v/>
      </c>
      <c r="DN7" s="7" t="str">
        <f t="shared" si="1"/>
        <v/>
      </c>
      <c r="DO7" s="7" t="str">
        <f t="shared" si="1"/>
        <v/>
      </c>
      <c r="DP7" s="7" t="str">
        <f t="shared" si="1"/>
        <v/>
      </c>
      <c r="DQ7" s="7" t="str">
        <f t="shared" si="1"/>
        <v/>
      </c>
      <c r="DR7" s="7" t="str">
        <f t="shared" si="1"/>
        <v/>
      </c>
      <c r="DS7" s="7" t="str">
        <f t="shared" si="1"/>
        <v/>
      </c>
      <c r="DT7" s="7" t="str">
        <f t="shared" si="1"/>
        <v/>
      </c>
      <c r="DU7" s="7" t="str">
        <f t="shared" si="1"/>
        <v/>
      </c>
      <c r="DV7" s="7" t="str">
        <f t="shared" si="1"/>
        <v/>
      </c>
      <c r="DW7" s="7" t="str">
        <f t="shared" si="1"/>
        <v/>
      </c>
      <c r="DX7" s="7" t="str">
        <f t="shared" si="1"/>
        <v/>
      </c>
      <c r="DY7" s="7" t="str">
        <f t="shared" si="1"/>
        <v/>
      </c>
      <c r="DZ7" s="7" t="str">
        <f t="shared" si="1"/>
        <v/>
      </c>
      <c r="EA7" s="7" t="str">
        <f t="shared" ref="EA7:GL7" si="2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EB7" s="7" t="str">
        <f t="shared" si="2"/>
        <v/>
      </c>
      <c r="EC7" s="7" t="str">
        <f t="shared" si="2"/>
        <v/>
      </c>
      <c r="ED7" s="7" t="str">
        <f t="shared" si="2"/>
        <v/>
      </c>
      <c r="EE7" s="7" t="str">
        <f t="shared" si="2"/>
        <v/>
      </c>
      <c r="EF7" s="7" t="str">
        <f t="shared" si="2"/>
        <v/>
      </c>
      <c r="EG7" s="7" t="str">
        <f t="shared" si="2"/>
        <v/>
      </c>
      <c r="EH7" s="7" t="str">
        <f t="shared" si="2"/>
        <v/>
      </c>
      <c r="EI7" s="7" t="str">
        <f t="shared" si="2"/>
        <v/>
      </c>
      <c r="EJ7" s="7" t="str">
        <f t="shared" si="2"/>
        <v/>
      </c>
      <c r="EK7" s="7" t="str">
        <f t="shared" si="2"/>
        <v/>
      </c>
      <c r="EL7" s="7" t="str">
        <f t="shared" si="2"/>
        <v/>
      </c>
      <c r="EM7" s="7" t="str">
        <f t="shared" si="2"/>
        <v/>
      </c>
      <c r="EN7" s="7" t="str">
        <f t="shared" si="2"/>
        <v/>
      </c>
      <c r="EO7" s="7" t="str">
        <f t="shared" si="2"/>
        <v/>
      </c>
      <c r="EP7" s="7" t="str">
        <f t="shared" si="2"/>
        <v/>
      </c>
      <c r="EQ7" s="7" t="str">
        <f t="shared" si="2"/>
        <v/>
      </c>
      <c r="ER7" s="7" t="str">
        <f t="shared" si="2"/>
        <v/>
      </c>
      <c r="ES7" s="7" t="str">
        <f t="shared" si="2"/>
        <v/>
      </c>
      <c r="ET7" s="7" t="str">
        <f t="shared" si="2"/>
        <v/>
      </c>
      <c r="EU7" s="7" t="str">
        <f t="shared" si="2"/>
        <v/>
      </c>
      <c r="EV7" s="7" t="str">
        <f t="shared" si="2"/>
        <v/>
      </c>
      <c r="EW7" s="7" t="str">
        <f t="shared" si="2"/>
        <v/>
      </c>
      <c r="EX7" s="7" t="str">
        <f t="shared" si="2"/>
        <v/>
      </c>
      <c r="EY7" s="7" t="str">
        <f t="shared" si="2"/>
        <v/>
      </c>
      <c r="EZ7" s="7" t="str">
        <f t="shared" si="2"/>
        <v/>
      </c>
      <c r="FA7" s="7" t="str">
        <f t="shared" si="2"/>
        <v/>
      </c>
      <c r="FB7" s="7" t="str">
        <f t="shared" si="2"/>
        <v/>
      </c>
      <c r="FC7" s="7" t="str">
        <f t="shared" si="2"/>
        <v/>
      </c>
      <c r="FD7" s="7" t="str">
        <f t="shared" si="2"/>
        <v/>
      </c>
      <c r="FE7" s="7" t="str">
        <f t="shared" si="2"/>
        <v/>
      </c>
      <c r="FF7" s="7" t="str">
        <f t="shared" si="2"/>
        <v/>
      </c>
      <c r="FG7" s="7" t="str">
        <f t="shared" si="2"/>
        <v/>
      </c>
      <c r="FH7" s="7" t="str">
        <f t="shared" si="2"/>
        <v/>
      </c>
      <c r="FI7" s="7" t="str">
        <f t="shared" si="2"/>
        <v/>
      </c>
      <c r="FJ7" s="7" t="str">
        <f t="shared" si="2"/>
        <v/>
      </c>
      <c r="FK7" s="7" t="str">
        <f t="shared" si="2"/>
        <v/>
      </c>
      <c r="FL7" s="7" t="str">
        <f t="shared" si="2"/>
        <v/>
      </c>
      <c r="FM7" s="7" t="str">
        <f t="shared" si="2"/>
        <v/>
      </c>
      <c r="FN7" s="7" t="str">
        <f t="shared" si="2"/>
        <v/>
      </c>
      <c r="FO7" s="7" t="str">
        <f t="shared" si="2"/>
        <v/>
      </c>
      <c r="FP7" s="7" t="str">
        <f t="shared" si="2"/>
        <v/>
      </c>
      <c r="FQ7" s="7" t="str">
        <f t="shared" si="2"/>
        <v/>
      </c>
      <c r="FR7" s="7" t="str">
        <f t="shared" si="2"/>
        <v/>
      </c>
      <c r="FS7" s="7" t="str">
        <f t="shared" si="2"/>
        <v/>
      </c>
      <c r="FT7" s="7" t="str">
        <f t="shared" si="2"/>
        <v/>
      </c>
      <c r="FU7" s="7" t="str">
        <f t="shared" si="2"/>
        <v/>
      </c>
      <c r="FV7" s="7" t="str">
        <f t="shared" si="2"/>
        <v/>
      </c>
      <c r="FW7" s="7" t="str">
        <f t="shared" si="2"/>
        <v/>
      </c>
      <c r="FX7" s="7" t="str">
        <f t="shared" si="2"/>
        <v/>
      </c>
      <c r="FY7" s="7" t="str">
        <f t="shared" si="2"/>
        <v/>
      </c>
      <c r="FZ7" s="7" t="str">
        <f t="shared" si="2"/>
        <v/>
      </c>
      <c r="GA7" s="7" t="str">
        <f t="shared" si="2"/>
        <v/>
      </c>
      <c r="GB7" s="7" t="str">
        <f t="shared" si="2"/>
        <v/>
      </c>
      <c r="GC7" s="7" t="str">
        <f t="shared" si="2"/>
        <v/>
      </c>
      <c r="GD7" s="7" t="str">
        <f t="shared" si="2"/>
        <v/>
      </c>
      <c r="GE7" s="7" t="str">
        <f t="shared" si="2"/>
        <v/>
      </c>
      <c r="GF7" s="7" t="str">
        <f t="shared" si="2"/>
        <v/>
      </c>
      <c r="GG7" s="7" t="str">
        <f t="shared" si="2"/>
        <v/>
      </c>
      <c r="GH7" s="7" t="str">
        <f t="shared" si="2"/>
        <v/>
      </c>
      <c r="GI7" s="7" t="str">
        <f t="shared" si="2"/>
        <v/>
      </c>
      <c r="GJ7" s="7" t="str">
        <f t="shared" si="2"/>
        <v/>
      </c>
      <c r="GK7" s="7" t="str">
        <f t="shared" si="2"/>
        <v/>
      </c>
      <c r="GL7" s="7" t="str">
        <f t="shared" si="2"/>
        <v/>
      </c>
      <c r="GM7" s="7" t="str">
        <f t="shared" ref="GM7:IX7" si="3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GN7" s="7" t="str">
        <f t="shared" si="3"/>
        <v/>
      </c>
      <c r="GO7" s="7" t="str">
        <f t="shared" si="3"/>
        <v/>
      </c>
      <c r="GP7" s="7" t="str">
        <f t="shared" si="3"/>
        <v/>
      </c>
      <c r="GQ7" s="7" t="str">
        <f t="shared" si="3"/>
        <v/>
      </c>
      <c r="GR7" s="7" t="str">
        <f t="shared" si="3"/>
        <v/>
      </c>
      <c r="GS7" s="7" t="str">
        <f t="shared" si="3"/>
        <v/>
      </c>
      <c r="GT7" s="7" t="str">
        <f t="shared" si="3"/>
        <v/>
      </c>
      <c r="GU7" s="7" t="str">
        <f t="shared" si="3"/>
        <v/>
      </c>
      <c r="GV7" s="7" t="str">
        <f t="shared" si="3"/>
        <v/>
      </c>
      <c r="GW7" s="7" t="str">
        <f t="shared" si="3"/>
        <v/>
      </c>
      <c r="GX7" s="7" t="str">
        <f t="shared" si="3"/>
        <v/>
      </c>
      <c r="GY7" s="7" t="str">
        <f t="shared" si="3"/>
        <v/>
      </c>
      <c r="GZ7" s="7" t="str">
        <f t="shared" si="3"/>
        <v/>
      </c>
      <c r="HA7" s="7" t="str">
        <f t="shared" si="3"/>
        <v/>
      </c>
      <c r="HB7" s="7" t="str">
        <f t="shared" si="3"/>
        <v/>
      </c>
      <c r="HC7" s="7" t="str">
        <f t="shared" si="3"/>
        <v/>
      </c>
      <c r="HD7" s="7" t="str">
        <f t="shared" si="3"/>
        <v/>
      </c>
      <c r="HE7" s="7" t="str">
        <f t="shared" si="3"/>
        <v/>
      </c>
      <c r="HF7" s="7" t="str">
        <f t="shared" si="3"/>
        <v/>
      </c>
      <c r="HG7" s="7" t="str">
        <f t="shared" si="3"/>
        <v/>
      </c>
      <c r="HH7" s="7" t="str">
        <f t="shared" si="3"/>
        <v/>
      </c>
      <c r="HI7" s="7" t="str">
        <f t="shared" si="3"/>
        <v/>
      </c>
      <c r="HJ7" s="7" t="str">
        <f t="shared" si="3"/>
        <v/>
      </c>
      <c r="HK7" s="7" t="str">
        <f t="shared" si="3"/>
        <v/>
      </c>
      <c r="HL7" s="7" t="str">
        <f t="shared" si="3"/>
        <v/>
      </c>
      <c r="HM7" s="7" t="str">
        <f t="shared" si="3"/>
        <v/>
      </c>
      <c r="HN7" s="7" t="str">
        <f t="shared" si="3"/>
        <v/>
      </c>
      <c r="HO7" s="7" t="str">
        <f t="shared" si="3"/>
        <v/>
      </c>
      <c r="HP7" s="7" t="str">
        <f t="shared" si="3"/>
        <v/>
      </c>
      <c r="HQ7" s="7" t="str">
        <f t="shared" si="3"/>
        <v/>
      </c>
      <c r="HR7" s="7" t="str">
        <f t="shared" si="3"/>
        <v/>
      </c>
      <c r="HS7" s="7" t="str">
        <f t="shared" si="3"/>
        <v/>
      </c>
      <c r="HT7" s="7" t="str">
        <f t="shared" si="3"/>
        <v/>
      </c>
      <c r="HU7" s="7" t="str">
        <f t="shared" si="3"/>
        <v/>
      </c>
      <c r="HV7" s="7" t="str">
        <f t="shared" si="3"/>
        <v/>
      </c>
      <c r="HW7" s="7" t="str">
        <f t="shared" si="3"/>
        <v/>
      </c>
      <c r="HX7" s="7" t="str">
        <f t="shared" si="3"/>
        <v/>
      </c>
      <c r="HY7" s="7" t="str">
        <f t="shared" si="3"/>
        <v/>
      </c>
      <c r="HZ7" s="7" t="str">
        <f t="shared" si="3"/>
        <v/>
      </c>
      <c r="IA7" s="7" t="str">
        <f t="shared" si="3"/>
        <v/>
      </c>
      <c r="IB7" s="7" t="str">
        <f t="shared" si="3"/>
        <v/>
      </c>
      <c r="IC7" s="7" t="str">
        <f t="shared" si="3"/>
        <v/>
      </c>
      <c r="ID7" s="7" t="str">
        <f t="shared" si="3"/>
        <v/>
      </c>
      <c r="IE7" s="7" t="str">
        <f t="shared" si="3"/>
        <v/>
      </c>
      <c r="IF7" s="7" t="str">
        <f t="shared" si="3"/>
        <v/>
      </c>
      <c r="IG7" s="7" t="str">
        <f t="shared" si="3"/>
        <v/>
      </c>
      <c r="IH7" s="7" t="str">
        <f t="shared" si="3"/>
        <v/>
      </c>
      <c r="II7" s="7" t="str">
        <f t="shared" si="3"/>
        <v/>
      </c>
      <c r="IJ7" s="7" t="str">
        <f t="shared" si="3"/>
        <v/>
      </c>
      <c r="IK7" s="7" t="str">
        <f t="shared" si="3"/>
        <v/>
      </c>
      <c r="IL7" s="7" t="str">
        <f t="shared" si="3"/>
        <v/>
      </c>
      <c r="IM7" s="7" t="str">
        <f t="shared" si="3"/>
        <v/>
      </c>
      <c r="IN7" s="7" t="str">
        <f t="shared" si="3"/>
        <v/>
      </c>
      <c r="IO7" s="7" t="str">
        <f t="shared" si="3"/>
        <v/>
      </c>
      <c r="IP7" s="7" t="str">
        <f t="shared" si="3"/>
        <v/>
      </c>
      <c r="IQ7" s="7" t="str">
        <f t="shared" si="3"/>
        <v/>
      </c>
      <c r="IR7" s="7" t="str">
        <f t="shared" si="3"/>
        <v/>
      </c>
      <c r="IS7" s="7" t="str">
        <f t="shared" si="3"/>
        <v/>
      </c>
      <c r="IT7" s="7" t="str">
        <f t="shared" si="3"/>
        <v/>
      </c>
      <c r="IU7" s="7" t="str">
        <f t="shared" si="3"/>
        <v/>
      </c>
      <c r="IV7" s="7" t="str">
        <f t="shared" si="3"/>
        <v/>
      </c>
      <c r="IW7" s="7" t="str">
        <f t="shared" si="3"/>
        <v/>
      </c>
      <c r="IX7" s="7" t="str">
        <f t="shared" si="3"/>
        <v/>
      </c>
      <c r="IY7" s="7" t="str">
        <f t="shared" ref="IY7:LJ7" si="4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IZ7" s="7" t="str">
        <f t="shared" si="4"/>
        <v/>
      </c>
      <c r="JA7" s="7" t="str">
        <f t="shared" si="4"/>
        <v/>
      </c>
      <c r="JB7" s="7" t="str">
        <f t="shared" si="4"/>
        <v/>
      </c>
      <c r="JC7" s="7" t="str">
        <f t="shared" si="4"/>
        <v/>
      </c>
      <c r="JD7" s="7" t="str">
        <f t="shared" si="4"/>
        <v/>
      </c>
      <c r="JE7" s="7" t="str">
        <f t="shared" si="4"/>
        <v/>
      </c>
      <c r="JF7" s="7" t="str">
        <f t="shared" si="4"/>
        <v/>
      </c>
      <c r="JG7" s="7" t="str">
        <f t="shared" si="4"/>
        <v/>
      </c>
      <c r="JH7" s="7" t="str">
        <f t="shared" si="4"/>
        <v/>
      </c>
      <c r="JI7" s="7" t="str">
        <f t="shared" si="4"/>
        <v/>
      </c>
      <c r="JJ7" s="7" t="str">
        <f t="shared" si="4"/>
        <v/>
      </c>
      <c r="JK7" s="7" t="str">
        <f t="shared" si="4"/>
        <v/>
      </c>
      <c r="JL7" s="7" t="str">
        <f t="shared" si="4"/>
        <v/>
      </c>
      <c r="JM7" s="7" t="str">
        <f t="shared" si="4"/>
        <v/>
      </c>
      <c r="JN7" s="7" t="str">
        <f t="shared" si="4"/>
        <v/>
      </c>
      <c r="JO7" s="7" t="str">
        <f t="shared" si="4"/>
        <v/>
      </c>
      <c r="JP7" s="7" t="str">
        <f t="shared" si="4"/>
        <v/>
      </c>
      <c r="JQ7" s="7" t="str">
        <f t="shared" si="4"/>
        <v/>
      </c>
      <c r="JR7" s="7" t="str">
        <f t="shared" si="4"/>
        <v/>
      </c>
      <c r="JS7" s="7" t="str">
        <f t="shared" si="4"/>
        <v/>
      </c>
      <c r="JT7" s="7" t="str">
        <f t="shared" si="4"/>
        <v/>
      </c>
      <c r="JU7" s="7" t="str">
        <f t="shared" si="4"/>
        <v/>
      </c>
      <c r="JV7" s="7" t="str">
        <f t="shared" si="4"/>
        <v/>
      </c>
      <c r="JW7" s="7" t="str">
        <f t="shared" si="4"/>
        <v/>
      </c>
      <c r="JX7" s="7" t="str">
        <f t="shared" si="4"/>
        <v/>
      </c>
      <c r="JY7" s="7" t="str">
        <f t="shared" si="4"/>
        <v/>
      </c>
      <c r="JZ7" s="7" t="str">
        <f t="shared" si="4"/>
        <v/>
      </c>
      <c r="KA7" s="7" t="str">
        <f t="shared" si="4"/>
        <v/>
      </c>
      <c r="KB7" s="7" t="str">
        <f t="shared" si="4"/>
        <v/>
      </c>
      <c r="KC7" s="7" t="str">
        <f t="shared" si="4"/>
        <v/>
      </c>
      <c r="KD7" s="7" t="str">
        <f t="shared" si="4"/>
        <v/>
      </c>
      <c r="KE7" s="7" t="str">
        <f t="shared" si="4"/>
        <v/>
      </c>
      <c r="KF7" s="7" t="str">
        <f t="shared" si="4"/>
        <v/>
      </c>
      <c r="KG7" s="7" t="str">
        <f t="shared" si="4"/>
        <v/>
      </c>
      <c r="KH7" s="7" t="str">
        <f t="shared" si="4"/>
        <v/>
      </c>
      <c r="KI7" s="7" t="str">
        <f t="shared" si="4"/>
        <v/>
      </c>
      <c r="KJ7" s="7" t="str">
        <f t="shared" si="4"/>
        <v/>
      </c>
      <c r="KK7" s="7" t="str">
        <f t="shared" si="4"/>
        <v/>
      </c>
      <c r="KL7" s="7" t="str">
        <f t="shared" si="4"/>
        <v/>
      </c>
      <c r="KM7" s="7" t="str">
        <f t="shared" si="4"/>
        <v/>
      </c>
      <c r="KN7" s="7" t="str">
        <f t="shared" si="4"/>
        <v/>
      </c>
      <c r="KO7" s="7" t="str">
        <f t="shared" si="4"/>
        <v/>
      </c>
      <c r="KP7" s="7" t="str">
        <f t="shared" si="4"/>
        <v/>
      </c>
      <c r="KQ7" s="7" t="str">
        <f t="shared" si="4"/>
        <v/>
      </c>
      <c r="KR7" s="7" t="str">
        <f t="shared" si="4"/>
        <v/>
      </c>
      <c r="KS7" s="7" t="str">
        <f t="shared" si="4"/>
        <v/>
      </c>
      <c r="KT7" s="7" t="str">
        <f t="shared" si="4"/>
        <v/>
      </c>
      <c r="KU7" s="7" t="str">
        <f t="shared" si="4"/>
        <v/>
      </c>
      <c r="KV7" s="7" t="str">
        <f t="shared" si="4"/>
        <v/>
      </c>
      <c r="KW7" s="7" t="str">
        <f t="shared" si="4"/>
        <v/>
      </c>
      <c r="KX7" s="7" t="str">
        <f t="shared" si="4"/>
        <v/>
      </c>
      <c r="KY7" s="7" t="str">
        <f t="shared" si="4"/>
        <v/>
      </c>
      <c r="KZ7" s="7" t="str">
        <f t="shared" si="4"/>
        <v/>
      </c>
      <c r="LA7" s="7" t="str">
        <f t="shared" si="4"/>
        <v/>
      </c>
      <c r="LB7" s="7" t="str">
        <f t="shared" si="4"/>
        <v/>
      </c>
      <c r="LC7" s="7" t="str">
        <f t="shared" si="4"/>
        <v/>
      </c>
      <c r="LD7" s="7" t="str">
        <f t="shared" si="4"/>
        <v/>
      </c>
      <c r="LE7" s="7" t="str">
        <f t="shared" si="4"/>
        <v/>
      </c>
      <c r="LF7" s="7" t="str">
        <f t="shared" si="4"/>
        <v/>
      </c>
      <c r="LG7" s="7" t="str">
        <f t="shared" si="4"/>
        <v/>
      </c>
      <c r="LH7" s="7" t="str">
        <f t="shared" si="4"/>
        <v/>
      </c>
      <c r="LI7" s="7" t="str">
        <f t="shared" si="4"/>
        <v/>
      </c>
      <c r="LJ7" s="7" t="str">
        <f t="shared" si="4"/>
        <v/>
      </c>
      <c r="LK7" s="7" t="str">
        <f t="shared" ref="LK7:NJ7" si="5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LL7" s="7" t="str">
        <f t="shared" si="5"/>
        <v/>
      </c>
      <c r="LM7" s="7" t="str">
        <f t="shared" si="5"/>
        <v/>
      </c>
      <c r="LN7" s="7" t="str">
        <f t="shared" si="5"/>
        <v/>
      </c>
      <c r="LO7" s="7" t="str">
        <f t="shared" si="5"/>
        <v/>
      </c>
      <c r="LP7" s="7" t="str">
        <f t="shared" si="5"/>
        <v/>
      </c>
      <c r="LQ7" s="7" t="str">
        <f t="shared" si="5"/>
        <v/>
      </c>
      <c r="LR7" s="7" t="str">
        <f t="shared" si="5"/>
        <v/>
      </c>
      <c r="LS7" s="7" t="str">
        <f t="shared" si="5"/>
        <v/>
      </c>
      <c r="LT7" s="7" t="str">
        <f t="shared" si="5"/>
        <v/>
      </c>
      <c r="LU7" s="7" t="str">
        <f t="shared" si="5"/>
        <v/>
      </c>
      <c r="LV7" s="7" t="str">
        <f t="shared" si="5"/>
        <v/>
      </c>
      <c r="LW7" s="7" t="str">
        <f t="shared" si="5"/>
        <v/>
      </c>
      <c r="LX7" s="7" t="str">
        <f t="shared" si="5"/>
        <v/>
      </c>
      <c r="LY7" s="7" t="str">
        <f t="shared" si="5"/>
        <v/>
      </c>
      <c r="LZ7" s="7" t="str">
        <f t="shared" si="5"/>
        <v/>
      </c>
      <c r="MA7" s="7" t="str">
        <f t="shared" si="5"/>
        <v/>
      </c>
      <c r="MB7" s="7" t="str">
        <f t="shared" si="5"/>
        <v/>
      </c>
      <c r="MC7" s="7" t="str">
        <f t="shared" si="5"/>
        <v/>
      </c>
      <c r="MD7" s="7" t="str">
        <f t="shared" si="5"/>
        <v/>
      </c>
      <c r="ME7" s="7">
        <f t="shared" si="5"/>
        <v>1</v>
      </c>
      <c r="MF7" s="7">
        <f t="shared" si="5"/>
        <v>2</v>
      </c>
      <c r="MG7" s="7">
        <f t="shared" si="5"/>
        <v>3</v>
      </c>
      <c r="MH7" s="7">
        <f t="shared" si="5"/>
        <v>4</v>
      </c>
      <c r="MI7" s="7">
        <f t="shared" si="5"/>
        <v>5</v>
      </c>
      <c r="MJ7" s="7">
        <f t="shared" si="5"/>
        <v>6</v>
      </c>
      <c r="MK7" s="7">
        <f t="shared" si="5"/>
        <v>7</v>
      </c>
      <c r="ML7" s="7">
        <f t="shared" si="5"/>
        <v>8</v>
      </c>
      <c r="MM7" s="7">
        <f t="shared" si="5"/>
        <v>9</v>
      </c>
      <c r="MN7" s="7">
        <f t="shared" si="5"/>
        <v>10</v>
      </c>
      <c r="MO7" s="7">
        <f t="shared" si="5"/>
        <v>11</v>
      </c>
      <c r="MP7" s="7">
        <f t="shared" si="5"/>
        <v>12</v>
      </c>
      <c r="MQ7" s="7">
        <f t="shared" si="5"/>
        <v>13</v>
      </c>
      <c r="MR7" s="7">
        <f t="shared" si="5"/>
        <v>14</v>
      </c>
      <c r="MS7" s="7">
        <f t="shared" si="5"/>
        <v>15</v>
      </c>
      <c r="MT7" s="7">
        <f t="shared" si="5"/>
        <v>16</v>
      </c>
      <c r="MU7" s="7">
        <f t="shared" si="5"/>
        <v>17</v>
      </c>
      <c r="MV7" s="7">
        <f t="shared" si="5"/>
        <v>18</v>
      </c>
      <c r="MW7" s="7">
        <f t="shared" si="5"/>
        <v>19</v>
      </c>
      <c r="MX7" s="7">
        <f t="shared" si="5"/>
        <v>20</v>
      </c>
      <c r="MY7" s="7">
        <f t="shared" si="5"/>
        <v>21</v>
      </c>
      <c r="MZ7" s="7">
        <f t="shared" si="5"/>
        <v>22</v>
      </c>
      <c r="NA7" s="7">
        <f t="shared" si="5"/>
        <v>23</v>
      </c>
      <c r="NB7" s="7">
        <f t="shared" si="5"/>
        <v>24</v>
      </c>
      <c r="NC7" s="7">
        <f t="shared" si="5"/>
        <v>25</v>
      </c>
      <c r="ND7" s="7">
        <f t="shared" si="5"/>
        <v>26</v>
      </c>
      <c r="NE7" s="7">
        <f t="shared" si="5"/>
        <v>27</v>
      </c>
      <c r="NF7" s="7">
        <f t="shared" si="5"/>
        <v>28</v>
      </c>
      <c r="NG7" s="7">
        <f t="shared" si="5"/>
        <v>29</v>
      </c>
      <c r="NH7" s="7">
        <f t="shared" si="5"/>
        <v>30</v>
      </c>
      <c r="NI7" s="7">
        <f t="shared" si="5"/>
        <v>31</v>
      </c>
      <c r="NJ7" s="7" t="str">
        <f t="shared" si="5"/>
        <v/>
      </c>
      <c r="NK7" s="80" t="s">
        <v>32</v>
      </c>
      <c r="NL7" s="82" t="s">
        <v>33</v>
      </c>
      <c r="NM7" s="84" t="s">
        <v>57</v>
      </c>
      <c r="NN7" s="84" t="s">
        <v>51</v>
      </c>
      <c r="NO7" s="84" t="s">
        <v>35</v>
      </c>
      <c r="NP7" s="84" t="s">
        <v>36</v>
      </c>
      <c r="NQ7" s="84" t="s">
        <v>58</v>
      </c>
      <c r="NR7" s="84" t="s">
        <v>27</v>
      </c>
      <c r="NS7" s="84" t="s">
        <v>37</v>
      </c>
    </row>
    <row r="8" spans="1:762" x14ac:dyDescent="0.35">
      <c r="B8" s="25" t="s">
        <v>28</v>
      </c>
      <c r="C8" s="27" t="str">
        <f>IF(C$7="","",VLOOKUP(WEEKDAY(DATE($B$4,$B$5+$B$3-1,C7),2),Sheet3!$D$1:$E$7,2,0))</f>
        <v/>
      </c>
      <c r="D8" s="27" t="str">
        <f>IF(D$7="","",VLOOKUP(WEEKDAY(DATE($B$4,$B$5+$B$3-1,D7),2),Sheet3!$D$1:$E$7,2,0))</f>
        <v/>
      </c>
      <c r="E8" s="27" t="str">
        <f>IF(E$7="","",VLOOKUP(WEEKDAY(DATE($B$4,$B$5+$B$3-1,E7),2),Sheet3!$D$1:$E$7,2,0))</f>
        <v/>
      </c>
      <c r="F8" s="27" t="str">
        <f>IF(F$7="","",VLOOKUP(WEEKDAY(DATE($B$4,$B$5+$B$3-1,F7),2),Sheet3!$D$1:$E$7,2,0))</f>
        <v/>
      </c>
      <c r="G8" s="27" t="str">
        <f>IF(G$7="","",VLOOKUP(WEEKDAY(DATE($B$4,$B$5+$B$3-1,G7),2),Sheet3!$D$1:$E$7,2,0))</f>
        <v/>
      </c>
      <c r="H8" s="27" t="str">
        <f>IF(H$7="","",VLOOKUP(WEEKDAY(DATE($B$4,$B$5+$B$3-1,H7),2),Sheet3!$D$1:$E$7,2,0))</f>
        <v/>
      </c>
      <c r="I8" s="27" t="str">
        <f>IF(I$7="","",VLOOKUP(WEEKDAY(DATE($B$4,$B$5+$B$3-1,I7),2),Sheet3!$D$1:$E$7,2,0))</f>
        <v/>
      </c>
      <c r="J8" s="27" t="str">
        <f>IF(J$7="","",VLOOKUP(WEEKDAY(DATE($B$4,$B$5+$B$3-1,J7),2),Sheet3!$D$1:$E$7,2,0))</f>
        <v/>
      </c>
      <c r="K8" s="27" t="str">
        <f>IF(K$7="","",VLOOKUP(WEEKDAY(DATE($B$4,$B$5+$B$3-1,K7),2),Sheet3!$D$1:$E$7,2,0))</f>
        <v/>
      </c>
      <c r="L8" s="27" t="str">
        <f>IF(L$7="","",VLOOKUP(WEEKDAY(DATE($B$4,$B$5+$B$3-1,L7),2),Sheet3!$D$1:$E$7,2,0))</f>
        <v/>
      </c>
      <c r="M8" s="27" t="str">
        <f>IF(M$7="","",VLOOKUP(WEEKDAY(DATE($B$4,$B$5+$B$3-1,M7),2),Sheet3!$D$1:$E$7,2,0))</f>
        <v/>
      </c>
      <c r="N8" s="27" t="str">
        <f>IF(N$7="","",VLOOKUP(WEEKDAY(DATE($B$4,$B$5+$B$3-1,N7),2),Sheet3!$D$1:$E$7,2,0))</f>
        <v/>
      </c>
      <c r="O8" s="27" t="str">
        <f>IF(O$7="","",VLOOKUP(WEEKDAY(DATE($B$4,$B$5+$B$3-1,O7),2),Sheet3!$D$1:$E$7,2,0))</f>
        <v/>
      </c>
      <c r="P8" s="27" t="str">
        <f>IF(P$7="","",VLOOKUP(WEEKDAY(DATE($B$4,$B$5+$B$3-1,P7),2),Sheet3!$D$1:$E$7,2,0))</f>
        <v/>
      </c>
      <c r="Q8" s="27" t="str">
        <f>IF(Q$7="","",VLOOKUP(WEEKDAY(DATE($B$4,$B$5+$B$3-1,Q7),2),Sheet3!$D$1:$E$7,2,0))</f>
        <v/>
      </c>
      <c r="R8" s="27" t="str">
        <f>IF(R$7="","",VLOOKUP(WEEKDAY(DATE($B$4,$B$5+$B$3-1,R7),2),Sheet3!$D$1:$E$7,2,0))</f>
        <v/>
      </c>
      <c r="S8" s="27" t="str">
        <f>IF(S$7="","",VLOOKUP(WEEKDAY(DATE($B$4,$B$5+$B$3-1,S7),2),Sheet3!$D$1:$E$7,2,0))</f>
        <v/>
      </c>
      <c r="T8" s="27" t="str">
        <f>IF(T$7="","",VLOOKUP(WEEKDAY(DATE($B$4,$B$5+$B$3-1,T7),2),Sheet3!$D$1:$E$7,2,0))</f>
        <v/>
      </c>
      <c r="U8" s="27" t="str">
        <f>IF(U$7="","",VLOOKUP(WEEKDAY(DATE($B$4,$B$5+$B$3-1,U7),2),Sheet3!$D$1:$E$7,2,0))</f>
        <v/>
      </c>
      <c r="V8" s="27" t="str">
        <f>IF(V$7="","",VLOOKUP(WEEKDAY(DATE($B$4,$B$5+$B$3-1,V7),2),Sheet3!$D$1:$E$7,2,0))</f>
        <v/>
      </c>
      <c r="W8" s="27" t="str">
        <f>IF(W$7="","",VLOOKUP(WEEKDAY(DATE($B$4,$B$5+$B$3-1,W7),2),Sheet3!$D$1:$E$7,2,0))</f>
        <v/>
      </c>
      <c r="X8" s="27" t="str">
        <f>IF(X$7="","",VLOOKUP(WEEKDAY(DATE($B$4,$B$5+$B$3-1,X7),2),Sheet3!$D$1:$E$7,2,0))</f>
        <v/>
      </c>
      <c r="Y8" s="27" t="str">
        <f>IF(Y$7="","",VLOOKUP(WEEKDAY(DATE($B$4,$B$5+$B$3-1,Y7),2),Sheet3!$D$1:$E$7,2,0))</f>
        <v/>
      </c>
      <c r="Z8" s="27" t="str">
        <f>IF(Z$7="","",VLOOKUP(WEEKDAY(DATE($B$4,$B$5+$B$3-1,Z7),2),Sheet3!$D$1:$E$7,2,0))</f>
        <v/>
      </c>
      <c r="AA8" s="27" t="str">
        <f>IF(AA$7="","",VLOOKUP(WEEKDAY(DATE($B$4,$B$5+$B$3-1,AA7),2),Sheet3!$D$1:$E$7,2,0))</f>
        <v/>
      </c>
      <c r="AB8" s="27" t="str">
        <f>IF(AB$7="","",VLOOKUP(WEEKDAY(DATE($B$4,$B$5+$B$3-1,AB7),2),Sheet3!$D$1:$E$7,2,0))</f>
        <v/>
      </c>
      <c r="AC8" s="27" t="str">
        <f>IF(AC$7="","",VLOOKUP(WEEKDAY(DATE($B$4,$B$5+$B$3-1,AC7),2),Sheet3!$D$1:$E$7,2,0))</f>
        <v/>
      </c>
      <c r="AD8" s="27" t="str">
        <f>IF(AD$7="","",VLOOKUP(WEEKDAY(DATE($B$4,$B$5+$B$3-1,AD7),2),Sheet3!$D$1:$E$7,2,0))</f>
        <v/>
      </c>
      <c r="AE8" s="27" t="str">
        <f>IF(AE$7="","",VLOOKUP(WEEKDAY(DATE($B$4,$B$5+$B$3-1,AE7),2),Sheet3!$D$1:$E$7,2,0))</f>
        <v/>
      </c>
      <c r="AF8" s="27" t="str">
        <f>IF(AF$7="","",VLOOKUP(WEEKDAY(DATE($B$4,$B$5+$B$3-1,AF7),2),Sheet3!$D$1:$E$7,2,0))</f>
        <v/>
      </c>
      <c r="AG8" s="27" t="str">
        <f>IF(AG$7="","",VLOOKUP(WEEKDAY(DATE($B$4,$B$5+$B$3-1,AG7),2),Sheet3!$D$1:$E$7,2,0))</f>
        <v/>
      </c>
      <c r="AH8" s="9" t="str">
        <f>IF(AH$7="","",VLOOKUP(WEEKDAY(DATE($B$4,$B$5+$B$3-1,AH7),2),Sheet3!$D$1:$E$7,2,0))</f>
        <v/>
      </c>
      <c r="AI8" s="9" t="str">
        <f>IF(AI$7="","",VLOOKUP(WEEKDAY(DATE($B$4,$B$5+$B$3-1,AI7),2),Sheet3!$D$1:$E$7,2,0))</f>
        <v/>
      </c>
      <c r="AJ8" s="9" t="str">
        <f>IF(AJ$7="","",VLOOKUP(WEEKDAY(DATE($B$4,$B$5+$B$3-1,AJ7),2),Sheet3!$D$1:$E$7,2,0))</f>
        <v/>
      </c>
      <c r="AK8" s="9" t="str">
        <f>IF(AK$7="","",VLOOKUP(WEEKDAY(DATE($B$4,$B$5+$B$3-1,AK7),2),Sheet3!$D$1:$E$7,2,0))</f>
        <v/>
      </c>
      <c r="AL8" s="9" t="str">
        <f>IF(AL$7="","",VLOOKUP(WEEKDAY(DATE($B$4,$B$5+$B$3-1,AL7),2),Sheet3!$D$1:$E$7,2,0))</f>
        <v/>
      </c>
      <c r="AM8" s="9" t="str">
        <f>IF(AM$7="","",VLOOKUP(WEEKDAY(DATE($B$4,$B$5+$B$3-1,AM7),2),Sheet3!$D$1:$E$7,2,0))</f>
        <v/>
      </c>
      <c r="AN8" s="9" t="str">
        <f>IF(AN$7="","",VLOOKUP(WEEKDAY(DATE($B$4,$B$5+$B$3-1,AN7),2),Sheet3!$D$1:$E$7,2,0))</f>
        <v/>
      </c>
      <c r="AO8" s="9" t="str">
        <f>IF(AO$7="","",VLOOKUP(WEEKDAY(DATE($B$4,$B$5+$B$3-1,AO7),2),Sheet3!$D$1:$E$7,2,0))</f>
        <v/>
      </c>
      <c r="AP8" s="9" t="str">
        <f>IF(AP$7="","",VLOOKUP(WEEKDAY(DATE($B$4,$B$5+$B$3-1,AP7),2),Sheet3!$D$1:$E$7,2,0))</f>
        <v/>
      </c>
      <c r="AQ8" s="9" t="str">
        <f>IF(AQ$7="","",VLOOKUP(WEEKDAY(DATE($B$4,$B$5+$B$3-1,AQ7),2),Sheet3!$D$1:$E$7,2,0))</f>
        <v/>
      </c>
      <c r="AR8" s="9" t="str">
        <f>IF(AR$7="","",VLOOKUP(WEEKDAY(DATE($B$4,$B$5+$B$3-1,AR7),2),Sheet3!$D$1:$E$7,2,0))</f>
        <v/>
      </c>
      <c r="AS8" s="9" t="str">
        <f>IF(AS$7="","",VLOOKUP(WEEKDAY(DATE($B$4,$B$5+$B$3-1,AS7),2),Sheet3!$D$1:$E$7,2,0))</f>
        <v/>
      </c>
      <c r="AT8" s="9" t="str">
        <f>IF(AT$7="","",VLOOKUP(WEEKDAY(DATE($B$4,$B$5+$B$3-1,AT7),2),Sheet3!$D$1:$E$7,2,0))</f>
        <v/>
      </c>
      <c r="AU8" s="9" t="str">
        <f>IF(AU$7="","",VLOOKUP(WEEKDAY(DATE($B$4,$B$5+$B$3-1,AU7),2),Sheet3!$D$1:$E$7,2,0))</f>
        <v/>
      </c>
      <c r="AV8" s="9" t="str">
        <f>IF(AV$7="","",VLOOKUP(WEEKDAY(DATE($B$4,$B$5+$B$3-1,AV7),2),Sheet3!$D$1:$E$7,2,0))</f>
        <v/>
      </c>
      <c r="AW8" s="9" t="str">
        <f>IF(AW$7="","",VLOOKUP(WEEKDAY(DATE($B$4,$B$5+$B$3-1,AW7),2),Sheet3!$D$1:$E$7,2,0))</f>
        <v/>
      </c>
      <c r="AX8" s="9" t="str">
        <f>IF(AX$7="","",VLOOKUP(WEEKDAY(DATE($B$4,$B$5+$B$3-1,AX7),2),Sheet3!$D$1:$E$7,2,0))</f>
        <v/>
      </c>
      <c r="AY8" s="9" t="str">
        <f>IF(AY$7="","",VLOOKUP(WEEKDAY(DATE($B$4,$B$5+$B$3-1,AY7),2),Sheet3!$D$1:$E$7,2,0))</f>
        <v/>
      </c>
      <c r="AZ8" s="9" t="str">
        <f>IF(AZ$7="","",VLOOKUP(WEEKDAY(DATE($B$4,$B$5+$B$3-1,AZ7),2),Sheet3!$D$1:$E$7,2,0))</f>
        <v/>
      </c>
      <c r="BA8" s="9" t="str">
        <f>IF(BA$7="","",VLOOKUP(WEEKDAY(DATE($B$4,$B$5+$B$3-1,BA7),2),Sheet3!$D$1:$E$7,2,0))</f>
        <v/>
      </c>
      <c r="BB8" s="9" t="str">
        <f>IF(BB$7="","",VLOOKUP(WEEKDAY(DATE($B$4,$B$5+$B$3-1,BB7),2),Sheet3!$D$1:$E$7,2,0))</f>
        <v/>
      </c>
      <c r="BC8" s="9" t="str">
        <f>IF(BC$7="","",VLOOKUP(WEEKDAY(DATE($B$4,$B$5+$B$3-1,BC7),2),Sheet3!$D$1:$E$7,2,0))</f>
        <v/>
      </c>
      <c r="BD8" s="9" t="str">
        <f>IF(BD$7="","",VLOOKUP(WEEKDAY(DATE($B$4,$B$5+$B$3-1,BD7),2),Sheet3!$D$1:$E$7,2,0))</f>
        <v/>
      </c>
      <c r="BE8" s="9" t="str">
        <f>IF(BE$7="","",VLOOKUP(WEEKDAY(DATE($B$4,$B$5+$B$3-1,BE7),2),Sheet3!$D$1:$E$7,2,0))</f>
        <v/>
      </c>
      <c r="BF8" s="9" t="str">
        <f>IF(BF$7="","",VLOOKUP(WEEKDAY(DATE($B$4,$B$5+$B$3-1,BF7),2),Sheet3!$D$1:$E$7,2,0))</f>
        <v/>
      </c>
      <c r="BG8" s="9" t="str">
        <f>IF(BG$7="","",VLOOKUP(WEEKDAY(DATE($B$4,$B$5+$B$3-1,BG7),2),Sheet3!$D$1:$E$7,2,0))</f>
        <v/>
      </c>
      <c r="BH8" s="9" t="str">
        <f>IF(BH$7="","",VLOOKUP(WEEKDAY(DATE($B$4,$B$5+$B$3-1,BH7),2),Sheet3!$D$1:$E$7,2,0))</f>
        <v/>
      </c>
      <c r="BI8" s="9" t="str">
        <f>IF(BI$7="","",VLOOKUP(WEEKDAY(DATE($B$4,$B$5+$B$3-1,BI7),2),Sheet3!$D$1:$E$7,2,0))</f>
        <v/>
      </c>
      <c r="BJ8" s="9" t="str">
        <f>IF(BJ$7="","",VLOOKUP(WEEKDAY(DATE($B$4,$B$5+$B$3-1,BJ7),2),Sheet3!$D$1:$E$7,2,0))</f>
        <v/>
      </c>
      <c r="BK8" s="9" t="str">
        <f>IF(BK$7="","",VLOOKUP(WEEKDAY(DATE($B$4,$B$5+$B$3-1,BK7),2),Sheet3!$D$1:$E$7,2,0))</f>
        <v/>
      </c>
      <c r="BL8" s="9" t="str">
        <f>IF(BL$7="","",VLOOKUP(WEEKDAY(DATE($B$4,$B$5+$B$3-1,BL7),2),Sheet3!$D$1:$E$7,2,0))</f>
        <v/>
      </c>
      <c r="BM8" s="9" t="str">
        <f>IF(BM$7="","",VLOOKUP(WEEKDAY(DATE($B$4,$B$5+$B$3-1,BM7),2),Sheet3!$D$1:$E$7,2,0))</f>
        <v/>
      </c>
      <c r="BN8" s="9" t="str">
        <f>IF(BN$7="","",VLOOKUP(WEEKDAY(DATE($B$4,$B$5+$B$3-1,BN7),2),Sheet3!$D$1:$E$7,2,0))</f>
        <v/>
      </c>
      <c r="BO8" s="9" t="str">
        <f>IF(BO$7="","",VLOOKUP(WEEKDAY(DATE($B$4,$B$5+$B$3-1,BO7),2),Sheet3!$D$1:$E$7,2,0))</f>
        <v/>
      </c>
      <c r="BP8" s="9" t="str">
        <f>IF(BP$7="","",VLOOKUP(WEEKDAY(DATE($B$4,$B$5+$B$3-1,BP7),2),Sheet3!$D$1:$E$7,2,0))</f>
        <v/>
      </c>
      <c r="BQ8" s="9" t="str">
        <f>IF(BQ$7="","",VLOOKUP(WEEKDAY(DATE($B$4,$B$5+$B$3-1,BQ7),2),Sheet3!$D$1:$E$7,2,0))</f>
        <v/>
      </c>
      <c r="BR8" s="9" t="str">
        <f>IF(BR$7="","",VLOOKUP(WEEKDAY(DATE($B$4,$B$5+$B$3-1,BR7),2),Sheet3!$D$1:$E$7,2,0))</f>
        <v/>
      </c>
      <c r="BS8" s="9" t="str">
        <f>IF(BS$7="","",VLOOKUP(WEEKDAY(DATE($B$4,$B$5+$B$3-1,BS7),2),Sheet3!$D$1:$E$7,2,0))</f>
        <v/>
      </c>
      <c r="BT8" s="9" t="str">
        <f>IF(BT$7="","",VLOOKUP(WEEKDAY(DATE($B$4,$B$5+$B$3-1,BT7),2),Sheet3!$D$1:$E$7,2,0))</f>
        <v/>
      </c>
      <c r="BU8" s="9" t="str">
        <f>IF(BU$7="","",VLOOKUP(WEEKDAY(DATE($B$4,$B$5+$B$3-1,BU7),2),Sheet3!$D$1:$E$7,2,0))</f>
        <v/>
      </c>
      <c r="BV8" s="9" t="str">
        <f>IF(BV$7="","",VLOOKUP(WEEKDAY(DATE($B$4,$B$5+$B$3-1,BV7),2),Sheet3!$D$1:$E$7,2,0))</f>
        <v/>
      </c>
      <c r="BW8" s="9" t="str">
        <f>IF(BW$7="","",VLOOKUP(WEEKDAY(DATE($B$4,$B$5+$B$3-1,BW7),2),Sheet3!$D$1:$E$7,2,0))</f>
        <v/>
      </c>
      <c r="BX8" s="9" t="str">
        <f>IF(BX$7="","",VLOOKUP(WEEKDAY(DATE($B$4,$B$5+$B$3-1,BX7),2),Sheet3!$D$1:$E$7,2,0))</f>
        <v/>
      </c>
      <c r="BY8" s="9" t="str">
        <f>IF(BY$7="","",VLOOKUP(WEEKDAY(DATE($B$4,$B$5+$B$3-1,BY7),2),Sheet3!$D$1:$E$7,2,0))</f>
        <v/>
      </c>
      <c r="BZ8" s="9" t="str">
        <f>IF(BZ$7="","",VLOOKUP(WEEKDAY(DATE($B$4,$B$5+$B$3-1,BZ7),2),Sheet3!$D$1:$E$7,2,0))</f>
        <v/>
      </c>
      <c r="CA8" s="9" t="str">
        <f>IF(CA$7="","",VLOOKUP(WEEKDAY(DATE($B$4,$B$5+$B$3-1,CA7),2),Sheet3!$D$1:$E$7,2,0))</f>
        <v/>
      </c>
      <c r="CB8" s="9" t="str">
        <f>IF(CB$7="","",VLOOKUP(WEEKDAY(DATE($B$4,$B$5+$B$3-1,CB7),2),Sheet3!$D$1:$E$7,2,0))</f>
        <v/>
      </c>
      <c r="CC8" s="9" t="str">
        <f>IF(CC$7="","",VLOOKUP(WEEKDAY(DATE($B$4,$B$5+$B$3-1,CC7),2),Sheet3!$D$1:$E$7,2,0))</f>
        <v/>
      </c>
      <c r="CD8" s="9" t="str">
        <f>IF(CD$7="","",VLOOKUP(WEEKDAY(DATE($B$4,$B$5+$B$3-1,CD7),2),Sheet3!$D$1:$E$7,2,0))</f>
        <v/>
      </c>
      <c r="CE8" s="9" t="str">
        <f>IF(CE$7="","",VLOOKUP(WEEKDAY(DATE($B$4,$B$5+$B$3-1,CE7),2),Sheet3!$D$1:$E$7,2,0))</f>
        <v/>
      </c>
      <c r="CF8" s="9" t="str">
        <f>IF(CF$7="","",VLOOKUP(WEEKDAY(DATE($B$4,$B$5+$B$3-1,CF7),2),Sheet3!$D$1:$E$7,2,0))</f>
        <v/>
      </c>
      <c r="CG8" s="9" t="str">
        <f>IF(CG$7="","",VLOOKUP(WEEKDAY(DATE($B$4,$B$5+$B$3-1,CG7),2),Sheet3!$D$1:$E$7,2,0))</f>
        <v/>
      </c>
      <c r="CH8" s="9" t="str">
        <f>IF(CH$7="","",VLOOKUP(WEEKDAY(DATE($B$4,$B$5+$B$3-1,CH7),2),Sheet3!$D$1:$E$7,2,0))</f>
        <v/>
      </c>
      <c r="CI8" s="9" t="str">
        <f>IF(CI$7="","",VLOOKUP(WEEKDAY(DATE($B$4,$B$5+$B$3-1,CI7),2),Sheet3!$D$1:$E$7,2,0))</f>
        <v/>
      </c>
      <c r="CJ8" s="9" t="str">
        <f>IF(CJ$7="","",VLOOKUP(WEEKDAY(DATE($B$4,$B$5+$B$3-1,CJ7),2),Sheet3!$D$1:$E$7,2,0))</f>
        <v/>
      </c>
      <c r="CK8" s="9" t="str">
        <f>IF(CK$7="","",VLOOKUP(WEEKDAY(DATE($B$4,$B$5+$B$3-1,CK7),2),Sheet3!$D$1:$E$7,2,0))</f>
        <v/>
      </c>
      <c r="CL8" s="9" t="str">
        <f>IF(CL$7="","",VLOOKUP(WEEKDAY(DATE($B$4,$B$5+$B$3-1,CL7),2),Sheet3!$D$1:$E$7,2,0))</f>
        <v/>
      </c>
      <c r="CM8" s="9" t="str">
        <f>IF(CM$7="","",VLOOKUP(WEEKDAY(DATE($B$4,$B$5+$B$3-1,CM7),2),Sheet3!$D$1:$E$7,2,0))</f>
        <v/>
      </c>
      <c r="CN8" s="9" t="str">
        <f>IF(CN$7="","",VLOOKUP(WEEKDAY(DATE($B$4,$B$5+$B$3-1,CN7),2),Sheet3!$D$1:$E$7,2,0))</f>
        <v/>
      </c>
      <c r="CO8" s="9" t="str">
        <f>IF(CO$7="","",VLOOKUP(WEEKDAY(DATE($B$4,$B$5+$B$3-1,CO7),2),Sheet3!$D$1:$E$7,2,0))</f>
        <v/>
      </c>
      <c r="CP8" s="9" t="str">
        <f>IF(CP$7="","",VLOOKUP(WEEKDAY(DATE($B$4,$B$5+$B$3-1,CP7),2),Sheet3!$D$1:$E$7,2,0))</f>
        <v/>
      </c>
      <c r="CQ8" s="9" t="str">
        <f>IF(CQ$7="","",VLOOKUP(WEEKDAY(DATE($B$4,$B$5+$B$3-1,CQ7),2),Sheet3!$D$1:$E$7,2,0))</f>
        <v/>
      </c>
      <c r="CR8" s="9" t="str">
        <f>IF(CR$7="","",VLOOKUP(WEEKDAY(DATE($B$4,$B$5+$B$3-1,CR7),2),Sheet3!$D$1:$E$7,2,0))</f>
        <v/>
      </c>
      <c r="CS8" s="9" t="str">
        <f>IF(CS$7="","",VLOOKUP(WEEKDAY(DATE($B$4,$B$5+$B$3-1,CS7),2),Sheet3!$D$1:$E$7,2,0))</f>
        <v/>
      </c>
      <c r="CT8" s="9" t="str">
        <f>IF(CT$7="","",VLOOKUP(WEEKDAY(DATE($B$4,$B$5+$B$3-1,CT7),2),Sheet3!$D$1:$E$7,2,0))</f>
        <v/>
      </c>
      <c r="CU8" s="9" t="str">
        <f>IF(CU$7="","",VLOOKUP(WEEKDAY(DATE($B$4,$B$5+$B$3-1,CU7),2),Sheet3!$D$1:$E$7,2,0))</f>
        <v/>
      </c>
      <c r="CV8" s="9" t="str">
        <f>IF(CV$7="","",VLOOKUP(WEEKDAY(DATE($B$4,$B$5+$B$3-1,CV7),2),Sheet3!$D$1:$E$7,2,0))</f>
        <v/>
      </c>
      <c r="CW8" s="9" t="str">
        <f>IF(CW$7="","",VLOOKUP(WEEKDAY(DATE($B$4,$B$5+$B$3-1,CW7),2),Sheet3!$D$1:$E$7,2,0))</f>
        <v/>
      </c>
      <c r="CX8" s="9" t="str">
        <f>IF(CX$7="","",VLOOKUP(WEEKDAY(DATE($B$4,$B$5+$B$3-1,CX7),2),Sheet3!$D$1:$E$7,2,0))</f>
        <v/>
      </c>
      <c r="CY8" s="9" t="str">
        <f>IF(CY$7="","",VLOOKUP(WEEKDAY(DATE($B$4,$B$5+$B$3-1,CY7),2),Sheet3!$D$1:$E$7,2,0))</f>
        <v/>
      </c>
      <c r="CZ8" s="9" t="str">
        <f>IF(CZ$7="","",VLOOKUP(WEEKDAY(DATE($B$4,$B$5+$B$3-1,CZ7),2),Sheet3!$D$1:$E$7,2,0))</f>
        <v/>
      </c>
      <c r="DA8" s="9" t="str">
        <f>IF(DA$7="","",VLOOKUP(WEEKDAY(DATE($B$4,$B$5+$B$3-1,DA7),2),Sheet3!$D$1:$E$7,2,0))</f>
        <v/>
      </c>
      <c r="DB8" s="9" t="str">
        <f>IF(DB$7="","",VLOOKUP(WEEKDAY(DATE($B$4,$B$5+$B$3-1,DB7),2),Sheet3!$D$1:$E$7,2,0))</f>
        <v/>
      </c>
      <c r="DC8" s="9" t="str">
        <f>IF(DC$7="","",VLOOKUP(WEEKDAY(DATE($B$4,$B$5+$B$3-1,DC7),2),Sheet3!$D$1:$E$7,2,0))</f>
        <v/>
      </c>
      <c r="DD8" s="9" t="str">
        <f>IF(DD$7="","",VLOOKUP(WEEKDAY(DATE($B$4,$B$5+$B$3-1,DD7),2),Sheet3!$D$1:$E$7,2,0))</f>
        <v/>
      </c>
      <c r="DE8" s="9" t="str">
        <f>IF(DE$7="","",VLOOKUP(WEEKDAY(DATE($B$4,$B$5+$B$3-1,DE7),2),Sheet3!$D$1:$E$7,2,0))</f>
        <v/>
      </c>
      <c r="DF8" s="9" t="str">
        <f>IF(DF$7="","",VLOOKUP(WEEKDAY(DATE($B$4,$B$5+$B$3-1,DF7),2),Sheet3!$D$1:$E$7,2,0))</f>
        <v/>
      </c>
      <c r="DG8" s="9" t="str">
        <f>IF(DG$7="","",VLOOKUP(WEEKDAY(DATE($B$4,$B$5+$B$3-1,DG7),2),Sheet3!$D$1:$E$7,2,0))</f>
        <v/>
      </c>
      <c r="DH8" s="9" t="str">
        <f>IF(DH$7="","",VLOOKUP(WEEKDAY(DATE($B$4,$B$5+$B$3-1,DH7),2),Sheet3!$D$1:$E$7,2,0))</f>
        <v/>
      </c>
      <c r="DI8" s="9" t="str">
        <f>IF(DI$7="","",VLOOKUP(WEEKDAY(DATE($B$4,$B$5+$B$3-1,DI7),2),Sheet3!$D$1:$E$7,2,0))</f>
        <v/>
      </c>
      <c r="DJ8" s="9" t="str">
        <f>IF(DJ$7="","",VLOOKUP(WEEKDAY(DATE($B$4,$B$5+$B$3-1,DJ7),2),Sheet3!$D$1:$E$7,2,0))</f>
        <v/>
      </c>
      <c r="DK8" s="9" t="str">
        <f>IF(DK$7="","",VLOOKUP(WEEKDAY(DATE($B$4,$B$5+$B$3-1,DK7),2),Sheet3!$D$1:$E$7,2,0))</f>
        <v/>
      </c>
      <c r="DL8" s="9" t="str">
        <f>IF(DL$7="","",VLOOKUP(WEEKDAY(DATE($B$4,$B$5+$B$3-1,DL7),2),Sheet3!$D$1:$E$7,2,0))</f>
        <v/>
      </c>
      <c r="DM8" s="9" t="str">
        <f>IF(DM$7="","",VLOOKUP(WEEKDAY(DATE($B$4,$B$5+$B$3-1,DM7),2),Sheet3!$D$1:$E$7,2,0))</f>
        <v/>
      </c>
      <c r="DN8" s="9" t="str">
        <f>IF(DN$7="","",VLOOKUP(WEEKDAY(DATE($B$4,$B$5+$B$3-1,DN7),2),Sheet3!$D$1:$E$7,2,0))</f>
        <v/>
      </c>
      <c r="DO8" s="9" t="str">
        <f>IF(DO$7="","",VLOOKUP(WEEKDAY(DATE($B$4,$B$5+$B$3-1,DO7),2),Sheet3!$D$1:$E$7,2,0))</f>
        <v/>
      </c>
      <c r="DP8" s="9" t="str">
        <f>IF(DP$7="","",VLOOKUP(WEEKDAY(DATE($B$4,$B$5+$B$3-1,DP7),2),Sheet3!$D$1:$E$7,2,0))</f>
        <v/>
      </c>
      <c r="DQ8" s="9" t="str">
        <f>IF(DQ$7="","",VLOOKUP(WEEKDAY(DATE($B$4,$B$5+$B$3-1,DQ7),2),Sheet3!$D$1:$E$7,2,0))</f>
        <v/>
      </c>
      <c r="DR8" s="9" t="str">
        <f>IF(DR$7="","",VLOOKUP(WEEKDAY(DATE($B$4,$B$5+$B$3-1,DR7),2),Sheet3!$D$1:$E$7,2,0))</f>
        <v/>
      </c>
      <c r="DS8" s="9" t="str">
        <f>IF(DS$7="","",VLOOKUP(WEEKDAY(DATE($B$4,$B$5+$B$3-1,DS7),2),Sheet3!$D$1:$E$7,2,0))</f>
        <v/>
      </c>
      <c r="DT8" s="9" t="str">
        <f>IF(DT$7="","",VLOOKUP(WEEKDAY(DATE($B$4,$B$5+$B$3-1,DT7),2),Sheet3!$D$1:$E$7,2,0))</f>
        <v/>
      </c>
      <c r="DU8" s="9" t="str">
        <f>IF(DU$7="","",VLOOKUP(WEEKDAY(DATE($B$4,$B$5+$B$3-1,DU7),2),Sheet3!$D$1:$E$7,2,0))</f>
        <v/>
      </c>
      <c r="DV8" s="9" t="str">
        <f>IF(DV$7="","",VLOOKUP(WEEKDAY(DATE($B$4,$B$5+$B$3-1,DV7),2),Sheet3!$D$1:$E$7,2,0))</f>
        <v/>
      </c>
      <c r="DW8" s="9" t="str">
        <f>IF(DW$7="","",VLOOKUP(WEEKDAY(DATE($B$4,$B$5+$B$3-1,DW7),2),Sheet3!$D$1:$E$7,2,0))</f>
        <v/>
      </c>
      <c r="DX8" s="9" t="str">
        <f>IF(DX$7="","",VLOOKUP(WEEKDAY(DATE($B$4,$B$5+$B$3-1,DX7),2),Sheet3!$D$1:$E$7,2,0))</f>
        <v/>
      </c>
      <c r="DY8" s="9" t="str">
        <f>IF(DY$7="","",VLOOKUP(WEEKDAY(DATE($B$4,$B$5+$B$3-1,DY7),2),Sheet3!$D$1:$E$7,2,0))</f>
        <v/>
      </c>
      <c r="DZ8" s="9" t="str">
        <f>IF(DZ$7="","",VLOOKUP(WEEKDAY(DATE($B$4,$B$5+$B$3-1,DZ7),2),Sheet3!$D$1:$E$7,2,0))</f>
        <v/>
      </c>
      <c r="EA8" s="9" t="str">
        <f>IF(EA$7="","",VLOOKUP(WEEKDAY(DATE($B$4,$B$5+$B$3-1,EA7),2),Sheet3!$D$1:$E$7,2,0))</f>
        <v/>
      </c>
      <c r="EB8" s="9" t="str">
        <f>IF(EB$7="","",VLOOKUP(WEEKDAY(DATE($B$4,$B$5+$B$3-1,EB7),2),Sheet3!$D$1:$E$7,2,0))</f>
        <v/>
      </c>
      <c r="EC8" s="9" t="str">
        <f>IF(EC$7="","",VLOOKUP(WEEKDAY(DATE($B$4,$B$5+$B$3-1,EC7),2),Sheet3!$D$1:$E$7,2,0))</f>
        <v/>
      </c>
      <c r="ED8" s="9" t="str">
        <f>IF(ED$7="","",VLOOKUP(WEEKDAY(DATE($B$4,$B$5+$B$3-1,ED7),2),Sheet3!$D$1:$E$7,2,0))</f>
        <v/>
      </c>
      <c r="EE8" s="9" t="str">
        <f>IF(EE$7="","",VLOOKUP(WEEKDAY(DATE($B$4,$B$5+$B$3-1,EE7),2),Sheet3!$D$1:$E$7,2,0))</f>
        <v/>
      </c>
      <c r="EF8" s="9" t="str">
        <f>IF(EF$7="","",VLOOKUP(WEEKDAY(DATE($B$4,$B$5+$B$3-1,EF7),2),Sheet3!$D$1:$E$7,2,0))</f>
        <v/>
      </c>
      <c r="EG8" s="9" t="str">
        <f>IF(EG$7="","",VLOOKUP(WEEKDAY(DATE($B$4,$B$5+$B$3-1,EG7),2),Sheet3!$D$1:$E$7,2,0))</f>
        <v/>
      </c>
      <c r="EH8" s="9" t="str">
        <f>IF(EH$7="","",VLOOKUP(WEEKDAY(DATE($B$4,$B$5+$B$3-1,EH7),2),Sheet3!$D$1:$E$7,2,0))</f>
        <v/>
      </c>
      <c r="EI8" s="9" t="str">
        <f>IF(EI$7="","",VLOOKUP(WEEKDAY(DATE($B$4,$B$5+$B$3-1,EI7),2),Sheet3!$D$1:$E$7,2,0))</f>
        <v/>
      </c>
      <c r="EJ8" s="9" t="str">
        <f>IF(EJ$7="","",VLOOKUP(WEEKDAY(DATE($B$4,$B$5+$B$3-1,EJ7),2),Sheet3!$D$1:$E$7,2,0))</f>
        <v/>
      </c>
      <c r="EK8" s="9" t="str">
        <f>IF(EK$7="","",VLOOKUP(WEEKDAY(DATE($B$4,$B$5+$B$3-1,EK7),2),Sheet3!$D$1:$E$7,2,0))</f>
        <v/>
      </c>
      <c r="EL8" s="9" t="str">
        <f>IF(EL$7="","",VLOOKUP(WEEKDAY(DATE($B$4,$B$5+$B$3-1,EL7),2),Sheet3!$D$1:$E$7,2,0))</f>
        <v/>
      </c>
      <c r="EM8" s="9" t="str">
        <f>IF(EM$7="","",VLOOKUP(WEEKDAY(DATE($B$4,$B$5+$B$3-1,EM7),2),Sheet3!$D$1:$E$7,2,0))</f>
        <v/>
      </c>
      <c r="EN8" s="9" t="str">
        <f>IF(EN$7="","",VLOOKUP(WEEKDAY(DATE($B$4,$B$5+$B$3-1,EN7),2),Sheet3!$D$1:$E$7,2,0))</f>
        <v/>
      </c>
      <c r="EO8" s="9" t="str">
        <f>IF(EO$7="","",VLOOKUP(WEEKDAY(DATE($B$4,$B$5+$B$3-1,EO7),2),Sheet3!$D$1:$E$7,2,0))</f>
        <v/>
      </c>
      <c r="EP8" s="9" t="str">
        <f>IF(EP$7="","",VLOOKUP(WEEKDAY(DATE($B$4,$B$5+$B$3-1,EP7),2),Sheet3!$D$1:$E$7,2,0))</f>
        <v/>
      </c>
      <c r="EQ8" s="9" t="str">
        <f>IF(EQ$7="","",VLOOKUP(WEEKDAY(DATE($B$4,$B$5+$B$3-1,EQ7),2),Sheet3!$D$1:$E$7,2,0))</f>
        <v/>
      </c>
      <c r="ER8" s="9" t="str">
        <f>IF(ER$7="","",VLOOKUP(WEEKDAY(DATE($B$4,$B$5+$B$3-1,ER7),2),Sheet3!$D$1:$E$7,2,0))</f>
        <v/>
      </c>
      <c r="ES8" s="9" t="str">
        <f>IF(ES$7="","",VLOOKUP(WEEKDAY(DATE($B$4,$B$5+$B$3-1,ES7),2),Sheet3!$D$1:$E$7,2,0))</f>
        <v/>
      </c>
      <c r="ET8" s="9" t="str">
        <f>IF(ET$7="","",VLOOKUP(WEEKDAY(DATE($B$4,$B$5+$B$3-1,ET7),2),Sheet3!$D$1:$E$7,2,0))</f>
        <v/>
      </c>
      <c r="EU8" s="9" t="str">
        <f>IF(EU$7="","",VLOOKUP(WEEKDAY(DATE($B$4,$B$5+$B$3-1,EU7),2),Sheet3!$D$1:$E$7,2,0))</f>
        <v/>
      </c>
      <c r="EV8" s="9" t="str">
        <f>IF(EV$7="","",VLOOKUP(WEEKDAY(DATE($B$4,$B$5+$B$3-1,EV7),2),Sheet3!$D$1:$E$7,2,0))</f>
        <v/>
      </c>
      <c r="EW8" s="9" t="str">
        <f>IF(EW$7="","",VLOOKUP(WEEKDAY(DATE($B$4,$B$5+$B$3-1,EW7),2),Sheet3!$D$1:$E$7,2,0))</f>
        <v/>
      </c>
      <c r="EX8" s="9" t="str">
        <f>IF(EX$7="","",VLOOKUP(WEEKDAY(DATE($B$4,$B$5+$B$3-1,EX7),2),Sheet3!$D$1:$E$7,2,0))</f>
        <v/>
      </c>
      <c r="EY8" s="9" t="str">
        <f>IF(EY$7="","",VLOOKUP(WEEKDAY(DATE($B$4,$B$5+$B$3-1,EY7),2),Sheet3!$D$1:$E$7,2,0))</f>
        <v/>
      </c>
      <c r="EZ8" s="9" t="str">
        <f>IF(EZ$7="","",VLOOKUP(WEEKDAY(DATE($B$4,$B$5+$B$3-1,EZ7),2),Sheet3!$D$1:$E$7,2,0))</f>
        <v/>
      </c>
      <c r="FA8" s="9" t="str">
        <f>IF(FA$7="","",VLOOKUP(WEEKDAY(DATE($B$4,$B$5+$B$3-1,FA7),2),Sheet3!$D$1:$E$7,2,0))</f>
        <v/>
      </c>
      <c r="FB8" s="9" t="str">
        <f>IF(FB$7="","",VLOOKUP(WEEKDAY(DATE($B$4,$B$5+$B$3-1,FB7),2),Sheet3!$D$1:$E$7,2,0))</f>
        <v/>
      </c>
      <c r="FC8" s="9" t="str">
        <f>IF(FC$7="","",VLOOKUP(WEEKDAY(DATE($B$4,$B$5+$B$3-1,FC7),2),Sheet3!$D$1:$E$7,2,0))</f>
        <v/>
      </c>
      <c r="FD8" s="9" t="str">
        <f>IF(FD$7="","",VLOOKUP(WEEKDAY(DATE($B$4,$B$5+$B$3-1,FD7),2),Sheet3!$D$1:$E$7,2,0))</f>
        <v/>
      </c>
      <c r="FE8" s="9" t="str">
        <f>IF(FE$7="","",VLOOKUP(WEEKDAY(DATE($B$4,$B$5+$B$3-1,FE7),2),Sheet3!$D$1:$E$7,2,0))</f>
        <v/>
      </c>
      <c r="FF8" s="9" t="str">
        <f>IF(FF$7="","",VLOOKUP(WEEKDAY(DATE($B$4,$B$5+$B$3-1,FF7),2),Sheet3!$D$1:$E$7,2,0))</f>
        <v/>
      </c>
      <c r="FG8" s="9" t="str">
        <f>IF(FG$7="","",VLOOKUP(WEEKDAY(DATE($B$4,$B$5+$B$3-1,FG7),2),Sheet3!$D$1:$E$7,2,0))</f>
        <v/>
      </c>
      <c r="FH8" s="9" t="str">
        <f>IF(FH$7="","",VLOOKUP(WEEKDAY(DATE($B$4,$B$5+$B$3-1,FH7),2),Sheet3!$D$1:$E$7,2,0))</f>
        <v/>
      </c>
      <c r="FI8" s="9" t="str">
        <f>IF(FI$7="","",VLOOKUP(WEEKDAY(DATE($B$4,$B$5+$B$3-1,FI7),2),Sheet3!$D$1:$E$7,2,0))</f>
        <v/>
      </c>
      <c r="FJ8" s="9" t="str">
        <f>IF(FJ$7="","",VLOOKUP(WEEKDAY(DATE($B$4,$B$5+$B$3-1,FJ7),2),Sheet3!$D$1:$E$7,2,0))</f>
        <v/>
      </c>
      <c r="FK8" s="9" t="str">
        <f>IF(FK$7="","",VLOOKUP(WEEKDAY(DATE($B$4,$B$5+$B$3-1,FK7),2),Sheet3!$D$1:$E$7,2,0))</f>
        <v/>
      </c>
      <c r="FL8" s="9" t="str">
        <f>IF(FL$7="","",VLOOKUP(WEEKDAY(DATE($B$4,$B$5+$B$3-1,FL7),2),Sheet3!$D$1:$E$7,2,0))</f>
        <v/>
      </c>
      <c r="FM8" s="9" t="str">
        <f>IF(FM$7="","",VLOOKUP(WEEKDAY(DATE($B$4,$B$5+$B$3-1,FM7),2),Sheet3!$D$1:$E$7,2,0))</f>
        <v/>
      </c>
      <c r="FN8" s="9" t="str">
        <f>IF(FN$7="","",VLOOKUP(WEEKDAY(DATE($B$4,$B$5+$B$3-1,FN7),2),Sheet3!$D$1:$E$7,2,0))</f>
        <v/>
      </c>
      <c r="FO8" s="9" t="str">
        <f>IF(FO$7="","",VLOOKUP(WEEKDAY(DATE($B$4,$B$5+$B$3-1,FO7),2),Sheet3!$D$1:$E$7,2,0))</f>
        <v/>
      </c>
      <c r="FP8" s="9" t="str">
        <f>IF(FP$7="","",VLOOKUP(WEEKDAY(DATE($B$4,$B$5+$B$3-1,FP7),2),Sheet3!$D$1:$E$7,2,0))</f>
        <v/>
      </c>
      <c r="FQ8" s="9" t="str">
        <f>IF(FQ$7="","",VLOOKUP(WEEKDAY(DATE($B$4,$B$5+$B$3-1,FQ7),2),Sheet3!$D$1:$E$7,2,0))</f>
        <v/>
      </c>
      <c r="FR8" s="9" t="str">
        <f>IF(FR$7="","",VLOOKUP(WEEKDAY(DATE($B$4,$B$5+$B$3-1,FR7),2),Sheet3!$D$1:$E$7,2,0))</f>
        <v/>
      </c>
      <c r="FS8" s="9" t="str">
        <f>IF(FS$7="","",VLOOKUP(WEEKDAY(DATE($B$4,$B$5+$B$3-1,FS7),2),Sheet3!$D$1:$E$7,2,0))</f>
        <v/>
      </c>
      <c r="FT8" s="9" t="str">
        <f>IF(FT$7="","",VLOOKUP(WEEKDAY(DATE($B$4,$B$5+$B$3-1,FT7),2),Sheet3!$D$1:$E$7,2,0))</f>
        <v/>
      </c>
      <c r="FU8" s="9" t="str">
        <f>IF(FU$7="","",VLOOKUP(WEEKDAY(DATE($B$4,$B$5+$B$3-1,FU7),2),Sheet3!$D$1:$E$7,2,0))</f>
        <v/>
      </c>
      <c r="FV8" s="9" t="str">
        <f>IF(FV$7="","",VLOOKUP(WEEKDAY(DATE($B$4,$B$5+$B$3-1,FV7),2),Sheet3!$D$1:$E$7,2,0))</f>
        <v/>
      </c>
      <c r="FW8" s="9" t="str">
        <f>IF(FW$7="","",VLOOKUP(WEEKDAY(DATE($B$4,$B$5+$B$3-1,FW7),2),Sheet3!$D$1:$E$7,2,0))</f>
        <v/>
      </c>
      <c r="FX8" s="9" t="str">
        <f>IF(FX$7="","",VLOOKUP(WEEKDAY(DATE($B$4,$B$5+$B$3-1,FX7),2),Sheet3!$D$1:$E$7,2,0))</f>
        <v/>
      </c>
      <c r="FY8" s="9" t="str">
        <f>IF(FY$7="","",VLOOKUP(WEEKDAY(DATE($B$4,$B$5+$B$3-1,FY7),2),Sheet3!$D$1:$E$7,2,0))</f>
        <v/>
      </c>
      <c r="FZ8" s="9" t="str">
        <f>IF(FZ$7="","",VLOOKUP(WEEKDAY(DATE($B$4,$B$5+$B$3-1,FZ7),2),Sheet3!$D$1:$E$7,2,0))</f>
        <v/>
      </c>
      <c r="GA8" s="9" t="str">
        <f>IF(GA$7="","",VLOOKUP(WEEKDAY(DATE($B$4,$B$5+$B$3-1,GA7),2),Sheet3!$D$1:$E$7,2,0))</f>
        <v/>
      </c>
      <c r="GB8" s="9" t="str">
        <f>IF(GB$7="","",VLOOKUP(WEEKDAY(DATE($B$4,$B$5+$B$3-1,GB7),2),Sheet3!$D$1:$E$7,2,0))</f>
        <v/>
      </c>
      <c r="GC8" s="9" t="str">
        <f>IF(GC$7="","",VLOOKUP(WEEKDAY(DATE($B$4,$B$5+$B$3-1,GC7),2),Sheet3!$D$1:$E$7,2,0))</f>
        <v/>
      </c>
      <c r="GD8" s="9" t="str">
        <f>IF(GD$7="","",VLOOKUP(WEEKDAY(DATE($B$4,$B$5+$B$3-1,GD7),2),Sheet3!$D$1:$E$7,2,0))</f>
        <v/>
      </c>
      <c r="GE8" s="9" t="str">
        <f>IF(GE$7="","",VLOOKUP(WEEKDAY(DATE($B$4,$B$5+$B$3-1,GE7),2),Sheet3!$D$1:$E$7,2,0))</f>
        <v/>
      </c>
      <c r="GF8" s="9" t="str">
        <f>IF(GF$7="","",VLOOKUP(WEEKDAY(DATE($B$4,$B$5+$B$3-1,GF7),2),Sheet3!$D$1:$E$7,2,0))</f>
        <v/>
      </c>
      <c r="GG8" s="9" t="str">
        <f>IF(GG$7="","",VLOOKUP(WEEKDAY(DATE($B$4,$B$5+$B$3-1,GG7),2),Sheet3!$D$1:$E$7,2,0))</f>
        <v/>
      </c>
      <c r="GH8" s="9" t="str">
        <f>IF(GH$7="","",VLOOKUP(WEEKDAY(DATE($B$4,$B$5+$B$3-1,GH7),2),Sheet3!$D$1:$E$7,2,0))</f>
        <v/>
      </c>
      <c r="GI8" s="9" t="str">
        <f>IF(GI$7="","",VLOOKUP(WEEKDAY(DATE($B$4,$B$5+$B$3-1,GI7),2),Sheet3!$D$1:$E$7,2,0))</f>
        <v/>
      </c>
      <c r="GJ8" s="9" t="str">
        <f>IF(GJ$7="","",VLOOKUP(WEEKDAY(DATE($B$4,$B$5+$B$3-1,GJ7),2),Sheet3!$D$1:$E$7,2,0))</f>
        <v/>
      </c>
      <c r="GK8" s="9" t="str">
        <f>IF(GK$7="","",VLOOKUP(WEEKDAY(DATE($B$4,$B$5+$B$3-1,GK7),2),Sheet3!$D$1:$E$7,2,0))</f>
        <v/>
      </c>
      <c r="GL8" s="9" t="str">
        <f>IF(GL$7="","",VLOOKUP(WEEKDAY(DATE($B$4,$B$5+$B$3-1,GL7),2),Sheet3!$D$1:$E$7,2,0))</f>
        <v/>
      </c>
      <c r="GM8" s="9" t="str">
        <f>IF(GM$7="","",VLOOKUP(WEEKDAY(DATE($B$4,$B$5+$B$3-1,GM7),2),Sheet3!$D$1:$E$7,2,0))</f>
        <v/>
      </c>
      <c r="GN8" s="9" t="str">
        <f>IF(GN$7="","",VLOOKUP(WEEKDAY(DATE($B$4,$B$5+$B$3-1,GN7),2),Sheet3!$D$1:$E$7,2,0))</f>
        <v/>
      </c>
      <c r="GO8" s="9" t="str">
        <f>IF(GO$7="","",VLOOKUP(WEEKDAY(DATE($B$4,$B$5+$B$3-1,GO7),2),Sheet3!$D$1:$E$7,2,0))</f>
        <v/>
      </c>
      <c r="GP8" s="9" t="str">
        <f>IF(GP$7="","",VLOOKUP(WEEKDAY(DATE($B$4,$B$5+$B$3-1,GP7),2),Sheet3!$D$1:$E$7,2,0))</f>
        <v/>
      </c>
      <c r="GQ8" s="9" t="str">
        <f>IF(GQ$7="","",VLOOKUP(WEEKDAY(DATE($B$4,$B$5+$B$3-1,GQ7),2),Sheet3!$D$1:$E$7,2,0))</f>
        <v/>
      </c>
      <c r="GR8" s="9" t="str">
        <f>IF(GR$7="","",VLOOKUP(WEEKDAY(DATE($B$4,$B$5+$B$3-1,GR7),2),Sheet3!$D$1:$E$7,2,0))</f>
        <v/>
      </c>
      <c r="GS8" s="9" t="str">
        <f>IF(GS$7="","",VLOOKUP(WEEKDAY(DATE($B$4,$B$5+$B$3-1,GS7),2),Sheet3!$D$1:$E$7,2,0))</f>
        <v/>
      </c>
      <c r="GT8" s="9" t="str">
        <f>IF(GT$7="","",VLOOKUP(WEEKDAY(DATE($B$4,$B$5+$B$3-1,GT7),2),Sheet3!$D$1:$E$7,2,0))</f>
        <v/>
      </c>
      <c r="GU8" s="9" t="str">
        <f>IF(GU$7="","",VLOOKUP(WEEKDAY(DATE($B$4,$B$5+$B$3-1,GU7),2),Sheet3!$D$1:$E$7,2,0))</f>
        <v/>
      </c>
      <c r="GV8" s="9" t="str">
        <f>IF(GV$7="","",VLOOKUP(WEEKDAY(DATE($B$4,$B$5+$B$3-1,GV7),2),Sheet3!$D$1:$E$7,2,0))</f>
        <v/>
      </c>
      <c r="GW8" s="9" t="str">
        <f>IF(GW$7="","",VLOOKUP(WEEKDAY(DATE($B$4,$B$5+$B$3-1,GW7),2),Sheet3!$D$1:$E$7,2,0))</f>
        <v/>
      </c>
      <c r="GX8" s="9" t="str">
        <f>IF(GX$7="","",VLOOKUP(WEEKDAY(DATE($B$4,$B$5+$B$3-1,GX7),2),Sheet3!$D$1:$E$7,2,0))</f>
        <v/>
      </c>
      <c r="GY8" s="9" t="str">
        <f>IF(GY$7="","",VLOOKUP(WEEKDAY(DATE($B$4,$B$5+$B$3-1,GY7),2),Sheet3!$D$1:$E$7,2,0))</f>
        <v/>
      </c>
      <c r="GZ8" s="9" t="str">
        <f>IF(GZ$7="","",VLOOKUP(WEEKDAY(DATE($B$4,$B$5+$B$3-1,GZ7),2),Sheet3!$D$1:$E$7,2,0))</f>
        <v/>
      </c>
      <c r="HA8" s="9" t="str">
        <f>IF(HA$7="","",VLOOKUP(WEEKDAY(DATE($B$4,$B$5+$B$3-1,HA7),2),Sheet3!$D$1:$E$7,2,0))</f>
        <v/>
      </c>
      <c r="HB8" s="9" t="str">
        <f>IF(HB$7="","",VLOOKUP(WEEKDAY(DATE($B$4,$B$5+$B$3-1,HB7),2),Sheet3!$D$1:$E$7,2,0))</f>
        <v/>
      </c>
      <c r="HC8" s="9" t="str">
        <f>IF(HC$7="","",VLOOKUP(WEEKDAY(DATE($B$4,$B$5+$B$3-1,HC7),2),Sheet3!$D$1:$E$7,2,0))</f>
        <v/>
      </c>
      <c r="HD8" s="9" t="str">
        <f>IF(HD$7="","",VLOOKUP(WEEKDAY(DATE($B$4,$B$5+$B$3-1,HD7),2),Sheet3!$D$1:$E$7,2,0))</f>
        <v/>
      </c>
      <c r="HE8" s="9" t="str">
        <f>IF(HE$7="","",VLOOKUP(WEEKDAY(DATE($B$4,$B$5+$B$3-1,HE7),2),Sheet3!$D$1:$E$7,2,0))</f>
        <v/>
      </c>
      <c r="HF8" s="9" t="str">
        <f>IF(HF$7="","",VLOOKUP(WEEKDAY(DATE($B$4,$B$5+$B$3-1,HF7),2),Sheet3!$D$1:$E$7,2,0))</f>
        <v/>
      </c>
      <c r="HG8" s="9" t="str">
        <f>IF(HG$7="","",VLOOKUP(WEEKDAY(DATE($B$4,$B$5+$B$3-1,HG7),2),Sheet3!$D$1:$E$7,2,0))</f>
        <v/>
      </c>
      <c r="HH8" s="9" t="str">
        <f>IF(HH$7="","",VLOOKUP(WEEKDAY(DATE($B$4,$B$5+$B$3-1,HH7),2),Sheet3!$D$1:$E$7,2,0))</f>
        <v/>
      </c>
      <c r="HI8" s="9" t="str">
        <f>IF(HI$7="","",VLOOKUP(WEEKDAY(DATE($B$4,$B$5+$B$3-1,HI7),2),Sheet3!$D$1:$E$7,2,0))</f>
        <v/>
      </c>
      <c r="HJ8" s="9" t="str">
        <f>IF(HJ$7="","",VLOOKUP(WEEKDAY(DATE($B$4,$B$5+$B$3-1,HJ7),2),Sheet3!$D$1:$E$7,2,0))</f>
        <v/>
      </c>
      <c r="HK8" s="9" t="str">
        <f>IF(HK$7="","",VLOOKUP(WEEKDAY(DATE($B$4,$B$5+$B$3-1,HK7),2),Sheet3!$D$1:$E$7,2,0))</f>
        <v/>
      </c>
      <c r="HL8" s="9" t="str">
        <f>IF(HL$7="","",VLOOKUP(WEEKDAY(DATE($B$4,$B$5+$B$3-1,HL7),2),Sheet3!$D$1:$E$7,2,0))</f>
        <v/>
      </c>
      <c r="HM8" s="9" t="str">
        <f>IF(HM$7="","",VLOOKUP(WEEKDAY(DATE($B$4,$B$5+$B$3-1,HM7),2),Sheet3!$D$1:$E$7,2,0))</f>
        <v/>
      </c>
      <c r="HN8" s="9" t="str">
        <f>IF(HN$7="","",VLOOKUP(WEEKDAY(DATE($B$4,$B$5+$B$3-1,HN7),2),Sheet3!$D$1:$E$7,2,0))</f>
        <v/>
      </c>
      <c r="HO8" s="9" t="str">
        <f>IF(HO$7="","",VLOOKUP(WEEKDAY(DATE($B$4,$B$5+$B$3-1,HO7),2),Sheet3!$D$1:$E$7,2,0))</f>
        <v/>
      </c>
      <c r="HP8" s="9" t="str">
        <f>IF(HP$7="","",VLOOKUP(WEEKDAY(DATE($B$4,$B$5+$B$3-1,HP7),2),Sheet3!$D$1:$E$7,2,0))</f>
        <v/>
      </c>
      <c r="HQ8" s="9" t="str">
        <f>IF(HQ$7="","",VLOOKUP(WEEKDAY(DATE($B$4,$B$5+$B$3-1,HQ7),2),Sheet3!$D$1:$E$7,2,0))</f>
        <v/>
      </c>
      <c r="HR8" s="9" t="str">
        <f>IF(HR$7="","",VLOOKUP(WEEKDAY(DATE($B$4,$B$5+$B$3-1,HR7),2),Sheet3!$D$1:$E$7,2,0))</f>
        <v/>
      </c>
      <c r="HS8" s="9" t="str">
        <f>IF(HS$7="","",VLOOKUP(WEEKDAY(DATE($B$4,$B$5+$B$3-1,HS7),2),Sheet3!$D$1:$E$7,2,0))</f>
        <v/>
      </c>
      <c r="HT8" s="9" t="str">
        <f>IF(HT$7="","",VLOOKUP(WEEKDAY(DATE($B$4,$B$5+$B$3-1,HT7),2),Sheet3!$D$1:$E$7,2,0))</f>
        <v/>
      </c>
      <c r="HU8" s="9" t="str">
        <f>IF(HU$7="","",VLOOKUP(WEEKDAY(DATE($B$4,$B$5+$B$3-1,HU7),2),Sheet3!$D$1:$E$7,2,0))</f>
        <v/>
      </c>
      <c r="HV8" s="9" t="str">
        <f>IF(HV$7="","",VLOOKUP(WEEKDAY(DATE($B$4,$B$5+$B$3-1,HV7),2),Sheet3!$D$1:$E$7,2,0))</f>
        <v/>
      </c>
      <c r="HW8" s="9" t="str">
        <f>IF(HW$7="","",VLOOKUP(WEEKDAY(DATE($B$4,$B$5+$B$3-1,HW7),2),Sheet3!$D$1:$E$7,2,0))</f>
        <v/>
      </c>
      <c r="HX8" s="9" t="str">
        <f>IF(HX$7="","",VLOOKUP(WEEKDAY(DATE($B$4,$B$5+$B$3-1,HX7),2),Sheet3!$D$1:$E$7,2,0))</f>
        <v/>
      </c>
      <c r="HY8" s="9" t="str">
        <f>IF(HY$7="","",VLOOKUP(WEEKDAY(DATE($B$4,$B$5+$B$3-1,HY7),2),Sheet3!$D$1:$E$7,2,0))</f>
        <v/>
      </c>
      <c r="HZ8" s="9" t="str">
        <f>IF(HZ$7="","",VLOOKUP(WEEKDAY(DATE($B$4,$B$5+$B$3-1,HZ7),2),Sheet3!$D$1:$E$7,2,0))</f>
        <v/>
      </c>
      <c r="IA8" s="9" t="str">
        <f>IF(IA$7="","",VLOOKUP(WEEKDAY(DATE($B$4,$B$5+$B$3-1,IA7),2),Sheet3!$D$1:$E$7,2,0))</f>
        <v/>
      </c>
      <c r="IB8" s="9" t="str">
        <f>IF(IB$7="","",VLOOKUP(WEEKDAY(DATE($B$4,$B$5+$B$3-1,IB7),2),Sheet3!$D$1:$E$7,2,0))</f>
        <v/>
      </c>
      <c r="IC8" s="9" t="str">
        <f>IF(IC$7="","",VLOOKUP(WEEKDAY(DATE($B$4,$B$5+$B$3-1,IC7),2),Sheet3!$D$1:$E$7,2,0))</f>
        <v/>
      </c>
      <c r="ID8" s="9" t="str">
        <f>IF(ID$7="","",VLOOKUP(WEEKDAY(DATE($B$4,$B$5+$B$3-1,ID7),2),Sheet3!$D$1:$E$7,2,0))</f>
        <v/>
      </c>
      <c r="IE8" s="9" t="str">
        <f>IF(IE$7="","",VLOOKUP(WEEKDAY(DATE($B$4,$B$5+$B$3-1,IE7),2),Sheet3!$D$1:$E$7,2,0))</f>
        <v/>
      </c>
      <c r="IF8" s="9" t="str">
        <f>IF(IF$7="","",VLOOKUP(WEEKDAY(DATE($B$4,$B$5+$B$3-1,IF7),2),Sheet3!$D$1:$E$7,2,0))</f>
        <v/>
      </c>
      <c r="IG8" s="9" t="str">
        <f>IF(IG$7="","",VLOOKUP(WEEKDAY(DATE($B$4,$B$5+$B$3-1,IG7),2),Sheet3!$D$1:$E$7,2,0))</f>
        <v/>
      </c>
      <c r="IH8" s="9" t="str">
        <f>IF(IH$7="","",VLOOKUP(WEEKDAY(DATE($B$4,$B$5+$B$3-1,IH7),2),Sheet3!$D$1:$E$7,2,0))</f>
        <v/>
      </c>
      <c r="II8" s="9" t="str">
        <f>IF(II$7="","",VLOOKUP(WEEKDAY(DATE($B$4,$B$5+$B$3-1,II7),2),Sheet3!$D$1:$E$7,2,0))</f>
        <v/>
      </c>
      <c r="IJ8" s="9" t="str">
        <f>IF(IJ$7="","",VLOOKUP(WEEKDAY(DATE($B$4,$B$5+$B$3-1,IJ7),2),Sheet3!$D$1:$E$7,2,0))</f>
        <v/>
      </c>
      <c r="IK8" s="9" t="str">
        <f>IF(IK$7="","",VLOOKUP(WEEKDAY(DATE($B$4,$B$5+$B$3-1,IK7),2),Sheet3!$D$1:$E$7,2,0))</f>
        <v/>
      </c>
      <c r="IL8" s="9" t="str">
        <f>IF(IL$7="","",VLOOKUP(WEEKDAY(DATE($B$4,$B$5+$B$3-1,IL7),2),Sheet3!$D$1:$E$7,2,0))</f>
        <v/>
      </c>
      <c r="IM8" s="9" t="str">
        <f>IF(IM$7="","",VLOOKUP(WEEKDAY(DATE($B$4,$B$5+$B$3-1,IM7),2),Sheet3!$D$1:$E$7,2,0))</f>
        <v/>
      </c>
      <c r="IN8" s="9" t="str">
        <f>IF(IN$7="","",VLOOKUP(WEEKDAY(DATE($B$4,$B$5+$B$3-1,IN7),2),Sheet3!$D$1:$E$7,2,0))</f>
        <v/>
      </c>
      <c r="IO8" s="9" t="str">
        <f>IF(IO$7="","",VLOOKUP(WEEKDAY(DATE($B$4,$B$5+$B$3-1,IO7),2),Sheet3!$D$1:$E$7,2,0))</f>
        <v/>
      </c>
      <c r="IP8" s="9" t="str">
        <f>IF(IP$7="","",VLOOKUP(WEEKDAY(DATE($B$4,$B$5+$B$3-1,IP7),2),Sheet3!$D$1:$E$7,2,0))</f>
        <v/>
      </c>
      <c r="IQ8" s="9" t="str">
        <f>IF(IQ$7="","",VLOOKUP(WEEKDAY(DATE($B$4,$B$5+$B$3-1,IQ7),2),Sheet3!$D$1:$E$7,2,0))</f>
        <v/>
      </c>
      <c r="IR8" s="9" t="str">
        <f>IF(IR$7="","",VLOOKUP(WEEKDAY(DATE($B$4,$B$5+$B$3-1,IR7),2),Sheet3!$D$1:$E$7,2,0))</f>
        <v/>
      </c>
      <c r="IS8" s="9" t="str">
        <f>IF(IS$7="","",VLOOKUP(WEEKDAY(DATE($B$4,$B$5+$B$3-1,IS7),2),Sheet3!$D$1:$E$7,2,0))</f>
        <v/>
      </c>
      <c r="IT8" s="9" t="str">
        <f>IF(IT$7="","",VLOOKUP(WEEKDAY(DATE($B$4,$B$5+$B$3-1,IT7),2),Sheet3!$D$1:$E$7,2,0))</f>
        <v/>
      </c>
      <c r="IU8" s="9" t="str">
        <f>IF(IU$7="","",VLOOKUP(WEEKDAY(DATE($B$4,$B$5+$B$3-1,IU7),2),Sheet3!$D$1:$E$7,2,0))</f>
        <v/>
      </c>
      <c r="IV8" s="9" t="str">
        <f>IF(IV$7="","",VLOOKUP(WEEKDAY(DATE($B$4,$B$5+$B$3-1,IV7),2),Sheet3!$D$1:$E$7,2,0))</f>
        <v/>
      </c>
      <c r="IW8" s="9" t="str">
        <f>IF(IW$7="","",VLOOKUP(WEEKDAY(DATE($B$4,$B$5+$B$3-1,IW7),2),Sheet3!$D$1:$E$7,2,0))</f>
        <v/>
      </c>
      <c r="IX8" s="9" t="str">
        <f>IF(IX$7="","",VLOOKUP(WEEKDAY(DATE($B$4,$B$5+$B$3-1,IX7),2),Sheet3!$D$1:$E$7,2,0))</f>
        <v/>
      </c>
      <c r="IY8" s="9" t="str">
        <f>IF(IY$7="","",VLOOKUP(WEEKDAY(DATE($B$4,$B$5+$B$3-1,IY7),2),Sheet3!$D$1:$E$7,2,0))</f>
        <v/>
      </c>
      <c r="IZ8" s="9" t="str">
        <f>IF(IZ$7="","",VLOOKUP(WEEKDAY(DATE($B$4,$B$5+$B$3-1,IZ7),2),Sheet3!$D$1:$E$7,2,0))</f>
        <v/>
      </c>
      <c r="JA8" s="9" t="str">
        <f>IF(JA$7="","",VLOOKUP(WEEKDAY(DATE($B$4,$B$5+$B$3-1,JA7),2),Sheet3!$D$1:$E$7,2,0))</f>
        <v/>
      </c>
      <c r="JB8" s="9" t="str">
        <f>IF(JB$7="","",VLOOKUP(WEEKDAY(DATE($B$4,$B$5+$B$3-1,JB7),2),Sheet3!$D$1:$E$7,2,0))</f>
        <v/>
      </c>
      <c r="JC8" s="9" t="str">
        <f>IF(JC$7="","",VLOOKUP(WEEKDAY(DATE($B$4,$B$5+$B$3-1,JC7),2),Sheet3!$D$1:$E$7,2,0))</f>
        <v/>
      </c>
      <c r="JD8" s="9" t="str">
        <f>IF(JD$7="","",VLOOKUP(WEEKDAY(DATE($B$4,$B$5+$B$3-1,JD7),2),Sheet3!$D$1:$E$7,2,0))</f>
        <v/>
      </c>
      <c r="JE8" s="9" t="str">
        <f>IF(JE$7="","",VLOOKUP(WEEKDAY(DATE($B$4,$B$5+$B$3-1,JE7),2),Sheet3!$D$1:$E$7,2,0))</f>
        <v/>
      </c>
      <c r="JF8" s="9" t="str">
        <f>IF(JF$7="","",VLOOKUP(WEEKDAY(DATE($B$4,$B$5+$B$3-1,JF7),2),Sheet3!$D$1:$E$7,2,0))</f>
        <v/>
      </c>
      <c r="JG8" s="9" t="str">
        <f>IF(JG$7="","",VLOOKUP(WEEKDAY(DATE($B$4,$B$5+$B$3-1,JG7),2),Sheet3!$D$1:$E$7,2,0))</f>
        <v/>
      </c>
      <c r="JH8" s="9" t="str">
        <f>IF(JH$7="","",VLOOKUP(WEEKDAY(DATE($B$4,$B$5+$B$3-1,JH7),2),Sheet3!$D$1:$E$7,2,0))</f>
        <v/>
      </c>
      <c r="JI8" s="9" t="str">
        <f>IF(JI$7="","",VLOOKUP(WEEKDAY(DATE($B$4,$B$5+$B$3-1,JI7),2),Sheet3!$D$1:$E$7,2,0))</f>
        <v/>
      </c>
      <c r="JJ8" s="9" t="str">
        <f>IF(JJ$7="","",VLOOKUP(WEEKDAY(DATE($B$4,$B$5+$B$3-1,JJ7),2),Sheet3!$D$1:$E$7,2,0))</f>
        <v/>
      </c>
      <c r="JK8" s="9" t="str">
        <f>IF(JK$7="","",VLOOKUP(WEEKDAY(DATE($B$4,$B$5+$B$3-1,JK7),2),Sheet3!$D$1:$E$7,2,0))</f>
        <v/>
      </c>
      <c r="JL8" s="9" t="str">
        <f>IF(JL$7="","",VLOOKUP(WEEKDAY(DATE($B$4,$B$5+$B$3-1,JL7),2),Sheet3!$D$1:$E$7,2,0))</f>
        <v/>
      </c>
      <c r="JM8" s="9" t="str">
        <f>IF(JM$7="","",VLOOKUP(WEEKDAY(DATE($B$4,$B$5+$B$3-1,JM7),2),Sheet3!$D$1:$E$7,2,0))</f>
        <v/>
      </c>
      <c r="JN8" s="9" t="str">
        <f>IF(JN$7="","",VLOOKUP(WEEKDAY(DATE($B$4,$B$5+$B$3-1,JN7),2),Sheet3!$D$1:$E$7,2,0))</f>
        <v/>
      </c>
      <c r="JO8" s="9" t="str">
        <f>IF(JO$7="","",VLOOKUP(WEEKDAY(DATE($B$4,$B$5+$B$3-1,JO7),2),Sheet3!$D$1:$E$7,2,0))</f>
        <v/>
      </c>
      <c r="JP8" s="9" t="str">
        <f>IF(JP$7="","",VLOOKUP(WEEKDAY(DATE($B$4,$B$5+$B$3-1,JP7),2),Sheet3!$D$1:$E$7,2,0))</f>
        <v/>
      </c>
      <c r="JQ8" s="9" t="str">
        <f>IF(JQ$7="","",VLOOKUP(WEEKDAY(DATE($B$4,$B$5+$B$3-1,JQ7),2),Sheet3!$D$1:$E$7,2,0))</f>
        <v/>
      </c>
      <c r="JR8" s="9" t="str">
        <f>IF(JR$7="","",VLOOKUP(WEEKDAY(DATE($B$4,$B$5+$B$3-1,JR7),2),Sheet3!$D$1:$E$7,2,0))</f>
        <v/>
      </c>
      <c r="JS8" s="9" t="str">
        <f>IF(JS$7="","",VLOOKUP(WEEKDAY(DATE($B$4,$B$5+$B$3-1,JS7),2),Sheet3!$D$1:$E$7,2,0))</f>
        <v/>
      </c>
      <c r="JT8" s="9" t="str">
        <f>IF(JT$7="","",VLOOKUP(WEEKDAY(DATE($B$4,$B$5+$B$3-1,JT7),2),Sheet3!$D$1:$E$7,2,0))</f>
        <v/>
      </c>
      <c r="JU8" s="9" t="str">
        <f>IF(JU$7="","",VLOOKUP(WEEKDAY(DATE($B$4,$B$5+$B$3-1,JU7),2),Sheet3!$D$1:$E$7,2,0))</f>
        <v/>
      </c>
      <c r="JV8" s="9" t="str">
        <f>IF(JV$7="","",VLOOKUP(WEEKDAY(DATE($B$4,$B$5+$B$3-1,JV7),2),Sheet3!$D$1:$E$7,2,0))</f>
        <v/>
      </c>
      <c r="JW8" s="9" t="str">
        <f>IF(JW$7="","",VLOOKUP(WEEKDAY(DATE($B$4,$B$5+$B$3-1,JW7),2),Sheet3!$D$1:$E$7,2,0))</f>
        <v/>
      </c>
      <c r="JX8" s="9" t="str">
        <f>IF(JX$7="","",VLOOKUP(WEEKDAY(DATE($B$4,$B$5+$B$3-1,JX7),2),Sheet3!$D$1:$E$7,2,0))</f>
        <v/>
      </c>
      <c r="JY8" s="9" t="str">
        <f>IF(JY$7="","",VLOOKUP(WEEKDAY(DATE($B$4,$B$5+$B$3-1,JY7),2),Sheet3!$D$1:$E$7,2,0))</f>
        <v/>
      </c>
      <c r="JZ8" s="9" t="str">
        <f>IF(JZ$7="","",VLOOKUP(WEEKDAY(DATE($B$4,$B$5+$B$3-1,JZ7),2),Sheet3!$D$1:$E$7,2,0))</f>
        <v/>
      </c>
      <c r="KA8" s="9" t="str">
        <f>IF(KA$7="","",VLOOKUP(WEEKDAY(DATE($B$4,$B$5+$B$3-1,KA7),2),Sheet3!$D$1:$E$7,2,0))</f>
        <v/>
      </c>
      <c r="KB8" s="9" t="str">
        <f>IF(KB$7="","",VLOOKUP(WEEKDAY(DATE($B$4,$B$5+$B$3-1,KB7),2),Sheet3!$D$1:$E$7,2,0))</f>
        <v/>
      </c>
      <c r="KC8" s="9" t="str">
        <f>IF(KC$7="","",VLOOKUP(WEEKDAY(DATE($B$4,$B$5+$B$3-1,KC7),2),Sheet3!$D$1:$E$7,2,0))</f>
        <v/>
      </c>
      <c r="KD8" s="9" t="str">
        <f>IF(KD$7="","",VLOOKUP(WEEKDAY(DATE($B$4,$B$5+$B$3-1,KD7),2),Sheet3!$D$1:$E$7,2,0))</f>
        <v/>
      </c>
      <c r="KE8" s="9" t="str">
        <f>IF(KE$7="","",VLOOKUP(WEEKDAY(DATE($B$4,$B$5+$B$3-1,KE7),2),Sheet3!$D$1:$E$7,2,0))</f>
        <v/>
      </c>
      <c r="KF8" s="9" t="str">
        <f>IF(KF$7="","",VLOOKUP(WEEKDAY(DATE($B$4,$B$5+$B$3-1,KF7),2),Sheet3!$D$1:$E$7,2,0))</f>
        <v/>
      </c>
      <c r="KG8" s="9" t="str">
        <f>IF(KG$7="","",VLOOKUP(WEEKDAY(DATE($B$4,$B$5+$B$3-1,KG7),2),Sheet3!$D$1:$E$7,2,0))</f>
        <v/>
      </c>
      <c r="KH8" s="9" t="str">
        <f>IF(KH$7="","",VLOOKUP(WEEKDAY(DATE($B$4,$B$5+$B$3-1,KH7),2),Sheet3!$D$1:$E$7,2,0))</f>
        <v/>
      </c>
      <c r="KI8" s="9" t="str">
        <f>IF(KI$7="","",VLOOKUP(WEEKDAY(DATE($B$4,$B$5+$B$3-1,KI7),2),Sheet3!$D$1:$E$7,2,0))</f>
        <v/>
      </c>
      <c r="KJ8" s="9" t="str">
        <f>IF(KJ$7="","",VLOOKUP(WEEKDAY(DATE($B$4,$B$5+$B$3-1,KJ7),2),Sheet3!$D$1:$E$7,2,0))</f>
        <v/>
      </c>
      <c r="KK8" s="9" t="str">
        <f>IF(KK$7="","",VLOOKUP(WEEKDAY(DATE($B$4,$B$5+$B$3-1,KK7),2),Sheet3!$D$1:$E$7,2,0))</f>
        <v/>
      </c>
      <c r="KL8" s="9" t="str">
        <f>IF(KL$7="","",VLOOKUP(WEEKDAY(DATE($B$4,$B$5+$B$3-1,KL7),2),Sheet3!$D$1:$E$7,2,0))</f>
        <v/>
      </c>
      <c r="KM8" s="9" t="str">
        <f>IF(KM$7="","",VLOOKUP(WEEKDAY(DATE($B$4,$B$5+$B$3-1,KM7),2),Sheet3!$D$1:$E$7,2,0))</f>
        <v/>
      </c>
      <c r="KN8" s="9" t="str">
        <f>IF(KN$7="","",VLOOKUP(WEEKDAY(DATE($B$4,$B$5+$B$3-1,KN7),2),Sheet3!$D$1:$E$7,2,0))</f>
        <v/>
      </c>
      <c r="KO8" s="9" t="str">
        <f>IF(KO$7="","",VLOOKUP(WEEKDAY(DATE($B$4,$B$5+$B$3-1,KO7),2),Sheet3!$D$1:$E$7,2,0))</f>
        <v/>
      </c>
      <c r="KP8" s="9" t="str">
        <f>IF(KP$7="","",VLOOKUP(WEEKDAY(DATE($B$4,$B$5+$B$3-1,KP7),2),Sheet3!$D$1:$E$7,2,0))</f>
        <v/>
      </c>
      <c r="KQ8" s="9" t="str">
        <f>IF(KQ$7="","",VLOOKUP(WEEKDAY(DATE($B$4,$B$5+$B$3-1,KQ7),2),Sheet3!$D$1:$E$7,2,0))</f>
        <v/>
      </c>
      <c r="KR8" s="9" t="str">
        <f>IF(KR$7="","",VLOOKUP(WEEKDAY(DATE($B$4,$B$5+$B$3-1,KR7),2),Sheet3!$D$1:$E$7,2,0))</f>
        <v/>
      </c>
      <c r="KS8" s="9" t="str">
        <f>IF(KS$7="","",VLOOKUP(WEEKDAY(DATE($B$4,$B$5+$B$3-1,KS7),2),Sheet3!$D$1:$E$7,2,0))</f>
        <v/>
      </c>
      <c r="KT8" s="9" t="str">
        <f>IF(KT$7="","",VLOOKUP(WEEKDAY(DATE($B$4,$B$5+$B$3-1,KT7),2),Sheet3!$D$1:$E$7,2,0))</f>
        <v/>
      </c>
      <c r="KU8" s="9" t="str">
        <f>IF(KU$7="","",VLOOKUP(WEEKDAY(DATE($B$4,$B$5+$B$3-1,KU7),2),Sheet3!$D$1:$E$7,2,0))</f>
        <v/>
      </c>
      <c r="KV8" s="9" t="str">
        <f>IF(KV$7="","",VLOOKUP(WEEKDAY(DATE($B$4,$B$5+$B$3-1,KV7),2),Sheet3!$D$1:$E$7,2,0))</f>
        <v/>
      </c>
      <c r="KW8" s="9" t="str">
        <f>IF(KW$7="","",VLOOKUP(WEEKDAY(DATE($B$4,$B$5+$B$3-1,KW7),2),Sheet3!$D$1:$E$7,2,0))</f>
        <v/>
      </c>
      <c r="KX8" s="9" t="str">
        <f>IF(KX$7="","",VLOOKUP(WEEKDAY(DATE($B$4,$B$5+$B$3-1,KX7),2),Sheet3!$D$1:$E$7,2,0))</f>
        <v/>
      </c>
      <c r="KY8" s="9" t="str">
        <f>IF(KY$7="","",VLOOKUP(WEEKDAY(DATE($B$4,$B$5+$B$3-1,KY7),2),Sheet3!$D$1:$E$7,2,0))</f>
        <v/>
      </c>
      <c r="KZ8" s="9" t="str">
        <f>IF(KZ$7="","",VLOOKUP(WEEKDAY(DATE($B$4,$B$5+$B$3-1,KZ7),2),Sheet3!$D$1:$E$7,2,0))</f>
        <v/>
      </c>
      <c r="LA8" s="9" t="str">
        <f>IF(LA$7="","",VLOOKUP(WEEKDAY(DATE($B$4,$B$5+$B$3-1,LA7),2),Sheet3!$D$1:$E$7,2,0))</f>
        <v/>
      </c>
      <c r="LB8" s="9" t="str">
        <f>IF(LB$7="","",VLOOKUP(WEEKDAY(DATE($B$4,$B$5+$B$3-1,LB7),2),Sheet3!$D$1:$E$7,2,0))</f>
        <v/>
      </c>
      <c r="LC8" s="9" t="str">
        <f>IF(LC$7="","",VLOOKUP(WEEKDAY(DATE($B$4,$B$5+$B$3-1,LC7),2),Sheet3!$D$1:$E$7,2,0))</f>
        <v/>
      </c>
      <c r="LD8" s="9" t="str">
        <f>IF(LD$7="","",VLOOKUP(WEEKDAY(DATE($B$4,$B$5+$B$3-1,LD7),2),Sheet3!$D$1:$E$7,2,0))</f>
        <v/>
      </c>
      <c r="LE8" s="9" t="str">
        <f>IF(LE$7="","",VLOOKUP(WEEKDAY(DATE($B$4,$B$5+$B$3-1,LE7),2),Sheet3!$D$1:$E$7,2,0))</f>
        <v/>
      </c>
      <c r="LF8" s="9" t="str">
        <f>IF(LF$7="","",VLOOKUP(WEEKDAY(DATE($B$4,$B$5+$B$3-1,LF7),2),Sheet3!$D$1:$E$7,2,0))</f>
        <v/>
      </c>
      <c r="LG8" s="9" t="str">
        <f>IF(LG$7="","",VLOOKUP(WEEKDAY(DATE($B$4,$B$5+$B$3-1,LG7),2),Sheet3!$D$1:$E$7,2,0))</f>
        <v/>
      </c>
      <c r="LH8" s="9" t="str">
        <f>IF(LH$7="","",VLOOKUP(WEEKDAY(DATE($B$4,$B$5+$B$3-1,LH7),2),Sheet3!$D$1:$E$7,2,0))</f>
        <v/>
      </c>
      <c r="LI8" s="9" t="str">
        <f>IF(LI$7="","",VLOOKUP(WEEKDAY(DATE($B$4,$B$5+$B$3-1,LI7),2),Sheet3!$D$1:$E$7,2,0))</f>
        <v/>
      </c>
      <c r="LJ8" s="9" t="str">
        <f>IF(LJ$7="","",VLOOKUP(WEEKDAY(DATE($B$4,$B$5+$B$3-1,LJ7),2),Sheet3!$D$1:$E$7,2,0))</f>
        <v/>
      </c>
      <c r="LK8" s="9" t="str">
        <f>IF(LK$7="","",VLOOKUP(WEEKDAY(DATE($B$4,$B$5+$B$3-1,LK7),2),Sheet3!$D$1:$E$7,2,0))</f>
        <v/>
      </c>
      <c r="LL8" s="9" t="str">
        <f>IF(LL$7="","",VLOOKUP(WEEKDAY(DATE($B$4,$B$5+$B$3-1,LL7),2),Sheet3!$D$1:$E$7,2,0))</f>
        <v/>
      </c>
      <c r="LM8" s="9" t="str">
        <f>IF(LM$7="","",VLOOKUP(WEEKDAY(DATE($B$4,$B$5+$B$3-1,LM7),2),Sheet3!$D$1:$E$7,2,0))</f>
        <v/>
      </c>
      <c r="LN8" s="9" t="str">
        <f>IF(LN$7="","",VLOOKUP(WEEKDAY(DATE($B$4,$B$5+$B$3-1,LN7),2),Sheet3!$D$1:$E$7,2,0))</f>
        <v/>
      </c>
      <c r="LO8" s="9" t="str">
        <f>IF(LO$7="","",VLOOKUP(WEEKDAY(DATE($B$4,$B$5+$B$3-1,LO7),2),Sheet3!$D$1:$E$7,2,0))</f>
        <v/>
      </c>
      <c r="LP8" s="9" t="str">
        <f>IF(LP$7="","",VLOOKUP(WEEKDAY(DATE($B$4,$B$5+$B$3-1,LP7),2),Sheet3!$D$1:$E$7,2,0))</f>
        <v/>
      </c>
      <c r="LQ8" s="9" t="str">
        <f>IF(LQ$7="","",VLOOKUP(WEEKDAY(DATE($B$4,$B$5+$B$3-1,LQ7),2),Sheet3!$D$1:$E$7,2,0))</f>
        <v/>
      </c>
      <c r="LR8" s="9" t="str">
        <f>IF(LR$7="","",VLOOKUP(WEEKDAY(DATE($B$4,$B$5+$B$3-1,LR7),2),Sheet3!$D$1:$E$7,2,0))</f>
        <v/>
      </c>
      <c r="LS8" s="9" t="str">
        <f>IF(LS$7="","",VLOOKUP(WEEKDAY(DATE($B$4,$B$5+$B$3-1,LS7),2),Sheet3!$D$1:$E$7,2,0))</f>
        <v/>
      </c>
      <c r="LT8" s="9" t="str">
        <f>IF(LT$7="","",VLOOKUP(WEEKDAY(DATE($B$4,$B$5+$B$3-1,LT7),2),Sheet3!$D$1:$E$7,2,0))</f>
        <v/>
      </c>
      <c r="LU8" s="9" t="str">
        <f>IF(LU$7="","",VLOOKUP(WEEKDAY(DATE($B$4,$B$5+$B$3-1,LU7),2),Sheet3!$D$1:$E$7,2,0))</f>
        <v/>
      </c>
      <c r="LV8" s="9" t="str">
        <f>IF(LV$7="","",VLOOKUP(WEEKDAY(DATE($B$4,$B$5+$B$3-1,LV7),2),Sheet3!$D$1:$E$7,2,0))</f>
        <v/>
      </c>
      <c r="LW8" s="9" t="str">
        <f>IF(LW$7="","",VLOOKUP(WEEKDAY(DATE($B$4,$B$5+$B$3-1,LW7),2),Sheet3!$D$1:$E$7,2,0))</f>
        <v/>
      </c>
      <c r="LX8" s="9" t="str">
        <f>IF(LX$7="","",VLOOKUP(WEEKDAY(DATE($B$4,$B$5+$B$3-1,LX7),2),Sheet3!$D$1:$E$7,2,0))</f>
        <v/>
      </c>
      <c r="LY8" s="9" t="str">
        <f>IF(LY$7="","",VLOOKUP(WEEKDAY(DATE($B$4,$B$5+$B$3-1,LY7),2),Sheet3!$D$1:$E$7,2,0))</f>
        <v/>
      </c>
      <c r="LZ8" s="9" t="str">
        <f>IF(LZ$7="","",VLOOKUP(WEEKDAY(DATE($B$4,$B$5+$B$3-1,LZ7),2),Sheet3!$D$1:$E$7,2,0))</f>
        <v/>
      </c>
      <c r="MA8" s="9" t="str">
        <f>IF(MA$7="","",VLOOKUP(WEEKDAY(DATE($B$4,$B$5+$B$3-1,MA7),2),Sheet3!$D$1:$E$7,2,0))</f>
        <v/>
      </c>
      <c r="MB8" s="9" t="str">
        <f>IF(MB$7="","",VLOOKUP(WEEKDAY(DATE($B$4,$B$5+$B$3-1,MB7),2),Sheet3!$D$1:$E$7,2,0))</f>
        <v/>
      </c>
      <c r="MC8" s="9" t="str">
        <f>IF(MC$7="","",VLOOKUP(WEEKDAY(DATE($B$4,$B$5+$B$3-1,MC7),2),Sheet3!$D$1:$E$7,2,0))</f>
        <v/>
      </c>
      <c r="MD8" s="9" t="str">
        <f>IF(MD$7="","",VLOOKUP(WEEKDAY(DATE($B$4,$B$5+$B$3-1,MD7),2),Sheet3!$D$1:$E$7,2,0))</f>
        <v/>
      </c>
      <c r="ME8" s="9" t="str">
        <f>IF(ME$7="","",VLOOKUP(WEEKDAY(DATE($B$4,$B$5+$B$3-1,ME7),2),Sheet3!$D$1:$E$7,2,0))</f>
        <v>Thu</v>
      </c>
      <c r="MF8" s="9" t="str">
        <f>IF(MF$7="","",VLOOKUP(WEEKDAY(DATE($B$4,$B$5+$B$3-1,MF7),2),Sheet3!$D$1:$E$7,2,0))</f>
        <v>Fri</v>
      </c>
      <c r="MG8" s="9" t="str">
        <f>IF(MG$7="","",VLOOKUP(WEEKDAY(DATE($B$4,$B$5+$B$3-1,MG7),2),Sheet3!$D$1:$E$7,2,0))</f>
        <v>Sat</v>
      </c>
      <c r="MH8" s="9" t="str">
        <f>IF(MH$7="","",VLOOKUP(WEEKDAY(DATE($B$4,$B$5+$B$3-1,MH7),2),Sheet3!$D$1:$E$7,2,0))</f>
        <v>Sun</v>
      </c>
      <c r="MI8" s="9" t="str">
        <f>IF(MI$7="","",VLOOKUP(WEEKDAY(DATE($B$4,$B$5+$B$3-1,MI7),2),Sheet3!$D$1:$E$7,2,0))</f>
        <v>Mon</v>
      </c>
      <c r="MJ8" s="9" t="str">
        <f>IF(MJ$7="","",VLOOKUP(WEEKDAY(DATE($B$4,$B$5+$B$3-1,MJ7),2),Sheet3!$D$1:$E$7,2,0))</f>
        <v>Tue</v>
      </c>
      <c r="MK8" s="9" t="str">
        <f>IF(MK$7="","",VLOOKUP(WEEKDAY(DATE($B$4,$B$5+$B$3-1,MK7),2),Sheet3!$D$1:$E$7,2,0))</f>
        <v>Wed</v>
      </c>
      <c r="ML8" s="9" t="str">
        <f>IF(ML$7="","",VLOOKUP(WEEKDAY(DATE($B$4,$B$5+$B$3-1,ML7),2),Sheet3!$D$1:$E$7,2,0))</f>
        <v>Thu</v>
      </c>
      <c r="MM8" s="9" t="str">
        <f>IF(MM$7="","",VLOOKUP(WEEKDAY(DATE($B$4,$B$5+$B$3-1,MM7),2),Sheet3!$D$1:$E$7,2,0))</f>
        <v>Fri</v>
      </c>
      <c r="MN8" s="9" t="str">
        <f>IF(MN$7="","",VLOOKUP(WEEKDAY(DATE($B$4,$B$5+$B$3-1,MN7),2),Sheet3!$D$1:$E$7,2,0))</f>
        <v>Sat</v>
      </c>
      <c r="MO8" s="9" t="str">
        <f>IF(MO$7="","",VLOOKUP(WEEKDAY(DATE($B$4,$B$5+$B$3-1,MO7),2),Sheet3!$D$1:$E$7,2,0))</f>
        <v>Sun</v>
      </c>
      <c r="MP8" s="9" t="str">
        <f>IF(MP$7="","",VLOOKUP(WEEKDAY(DATE($B$4,$B$5+$B$3-1,MP7),2),Sheet3!$D$1:$E$7,2,0))</f>
        <v>Mon</v>
      </c>
      <c r="MQ8" s="9" t="str">
        <f>IF(MQ$7="","",VLOOKUP(WEEKDAY(DATE($B$4,$B$5+$B$3-1,MQ7),2),Sheet3!$D$1:$E$7,2,0))</f>
        <v>Tue</v>
      </c>
      <c r="MR8" s="9" t="str">
        <f>IF(MR$7="","",VLOOKUP(WEEKDAY(DATE($B$4,$B$5+$B$3-1,MR7),2),Sheet3!$D$1:$E$7,2,0))</f>
        <v>Wed</v>
      </c>
      <c r="MS8" s="9" t="str">
        <f>IF(MS$7="","",VLOOKUP(WEEKDAY(DATE($B$4,$B$5+$B$3-1,MS7),2),Sheet3!$D$1:$E$7,2,0))</f>
        <v>Thu</v>
      </c>
      <c r="MT8" s="9" t="str">
        <f>IF(MT$7="","",VLOOKUP(WEEKDAY(DATE($B$4,$B$5+$B$3-1,MT7),2),Sheet3!$D$1:$E$7,2,0))</f>
        <v>Fri</v>
      </c>
      <c r="MU8" s="9" t="str">
        <f>IF(MU$7="","",VLOOKUP(WEEKDAY(DATE($B$4,$B$5+$B$3-1,MU7),2),Sheet3!$D$1:$E$7,2,0))</f>
        <v>Sat</v>
      </c>
      <c r="MV8" s="9" t="str">
        <f>IF(MV$7="","",VLOOKUP(WEEKDAY(DATE($B$4,$B$5+$B$3-1,MV7),2),Sheet3!$D$1:$E$7,2,0))</f>
        <v>Sun</v>
      </c>
      <c r="MW8" s="9" t="str">
        <f>IF(MW$7="","",VLOOKUP(WEEKDAY(DATE($B$4,$B$5+$B$3-1,MW7),2),Sheet3!$D$1:$E$7,2,0))</f>
        <v>Mon</v>
      </c>
      <c r="MX8" s="9" t="str">
        <f>IF(MX$7="","",VLOOKUP(WEEKDAY(DATE($B$4,$B$5+$B$3-1,MX7),2),Sheet3!$D$1:$E$7,2,0))</f>
        <v>Tue</v>
      </c>
      <c r="MY8" s="9" t="str">
        <f>IF(MY$7="","",VLOOKUP(WEEKDAY(DATE($B$4,$B$5+$B$3-1,MY7),2),Sheet3!$D$1:$E$7,2,0))</f>
        <v>Wed</v>
      </c>
      <c r="MZ8" s="9" t="str">
        <f>IF(MZ$7="","",VLOOKUP(WEEKDAY(DATE($B$4,$B$5+$B$3-1,MZ7),2),Sheet3!$D$1:$E$7,2,0))</f>
        <v>Thu</v>
      </c>
      <c r="NA8" s="9" t="str">
        <f>IF(NA$7="","",VLOOKUP(WEEKDAY(DATE($B$4,$B$5+$B$3-1,NA7),2),Sheet3!$D$1:$E$7,2,0))</f>
        <v>Fri</v>
      </c>
      <c r="NB8" s="9" t="str">
        <f>IF(NB$7="","",VLOOKUP(WEEKDAY(DATE($B$4,$B$5+$B$3-1,NB7),2),Sheet3!$D$1:$E$7,2,0))</f>
        <v>Sat</v>
      </c>
      <c r="NC8" s="9" t="str">
        <f>IF(NC$7="","",VLOOKUP(WEEKDAY(DATE($B$4,$B$5+$B$3-1,NC7),2),Sheet3!$D$1:$E$7,2,0))</f>
        <v>Sun</v>
      </c>
      <c r="ND8" s="9" t="str">
        <f>IF(ND$7="","",VLOOKUP(WEEKDAY(DATE($B$4,$B$5+$B$3-1,ND7),2),Sheet3!$D$1:$E$7,2,0))</f>
        <v>Mon</v>
      </c>
      <c r="NE8" s="9" t="str">
        <f>IF(NE$7="","",VLOOKUP(WEEKDAY(DATE($B$4,$B$5+$B$3-1,NE7),2),Sheet3!$D$1:$E$7,2,0))</f>
        <v>Tue</v>
      </c>
      <c r="NF8" s="9" t="str">
        <f>IF(NF$7="","",VLOOKUP(WEEKDAY(DATE($B$4,$B$5+$B$3-1,NF7),2),Sheet3!$D$1:$E$7,2,0))</f>
        <v>Wed</v>
      </c>
      <c r="NG8" s="9" t="str">
        <f>IF(NG$7="","",VLOOKUP(WEEKDAY(DATE($B$4,$B$5+$B$3-1,NG7),2),Sheet3!$D$1:$E$7,2,0))</f>
        <v>Thu</v>
      </c>
      <c r="NH8" s="9" t="str">
        <f>IF(NH$7="","",VLOOKUP(WEEKDAY(DATE($B$4,$B$5+$B$3-1,NH7),2),Sheet3!$D$1:$E$7,2,0))</f>
        <v>Fri</v>
      </c>
      <c r="NI8" s="9" t="str">
        <f>IF(NI$7="","",VLOOKUP(WEEKDAY(DATE($B$4,$B$5+$B$3-1,NI7),2),Sheet3!$D$1:$E$7,2,0))</f>
        <v>Sat</v>
      </c>
      <c r="NJ8" s="9" t="str">
        <f>IF(NJ$7="","",VLOOKUP(WEEKDAY(DATE($B$4,$B$5+$B$3-1,NJ7),2),Sheet3!$D$1:$E$7,2,0))</f>
        <v/>
      </c>
      <c r="NK8" s="81"/>
      <c r="NL8" s="83"/>
      <c r="NM8" s="85"/>
      <c r="NN8" s="85"/>
      <c r="NO8" s="85"/>
      <c r="NP8" s="85"/>
      <c r="NQ8" s="85"/>
      <c r="NR8" s="85"/>
      <c r="NS8" s="85"/>
      <c r="NX8" s="24" t="s">
        <v>38</v>
      </c>
      <c r="NY8" s="24" t="s">
        <v>39</v>
      </c>
      <c r="NZ8" s="79" t="s">
        <v>72</v>
      </c>
    </row>
    <row r="9" spans="1:762" ht="15" hidden="1" customHeight="1" x14ac:dyDescent="0.35">
      <c r="B9" s="4" t="s">
        <v>18</v>
      </c>
      <c r="C9" s="21" t="str">
        <f>IF(C$7="","",WEEKNUM(DATE($B$4,VLOOKUP($B$3,Sheet3!$A$1:$B$12,2,0),COLUMNS($B$8:B8)),2))</f>
        <v/>
      </c>
      <c r="D9" s="21" t="str">
        <f>IF(D$7="","",WEEKNUM(DATE($B$4,VLOOKUP($B$3,Sheet3!$A$1:$B$12,2,0),COLUMNS($B$8:C8)),2))</f>
        <v/>
      </c>
      <c r="E9" s="21" t="str">
        <f>IF(E$7="","",WEEKNUM(DATE($B$4,VLOOKUP($B$3,Sheet3!$A$1:$B$12,2,0),COLUMNS($B$8:D8)),2))</f>
        <v/>
      </c>
      <c r="F9" s="21" t="str">
        <f>IF(F$7="","",WEEKNUM(DATE($B$4,VLOOKUP($B$3,Sheet3!$A$1:$B$12,2,0),COLUMNS($B$8:E8)),2))</f>
        <v/>
      </c>
      <c r="G9" s="21" t="str">
        <f>IF(G$7="","",WEEKNUM(DATE($B$4,VLOOKUP($B$3,Sheet3!$A$1:$B$12,2,0),COLUMNS($B$8:F8)),2))</f>
        <v/>
      </c>
      <c r="H9" s="21" t="str">
        <f>IF(H$7="","",WEEKNUM(DATE($B$4,VLOOKUP($B$3,Sheet3!$A$1:$B$12,2,0),COLUMNS($B$8:G8)),2))</f>
        <v/>
      </c>
      <c r="I9" s="21" t="str">
        <f>IF(I$7="","",WEEKNUM(DATE($B$4,VLOOKUP($B$3,Sheet3!$A$1:$B$12,2,0),COLUMNS($B$8:H8)),2))</f>
        <v/>
      </c>
      <c r="J9" s="21" t="str">
        <f>IF(J$7="","",WEEKNUM(DATE($B$4,VLOOKUP($B$3,Sheet3!$A$1:$B$12,2,0),COLUMNS($B$8:I8)),2))</f>
        <v/>
      </c>
      <c r="K9" s="21" t="str">
        <f>IF(K$7="","",WEEKNUM(DATE($B$4,VLOOKUP($B$3,Sheet3!$A$1:$B$12,2,0),COLUMNS($B$8:J8)),2))</f>
        <v/>
      </c>
      <c r="L9" s="21" t="str">
        <f>IF(L$7="","",WEEKNUM(DATE($B$4,VLOOKUP($B$3,Sheet3!$A$1:$B$12,2,0),COLUMNS($B$8:K8)),2))</f>
        <v/>
      </c>
      <c r="M9" s="21" t="str">
        <f>IF(M$7="","",WEEKNUM(DATE($B$4,VLOOKUP($B$3,Sheet3!$A$1:$B$12,2,0),COLUMNS($B$8:L8)),2))</f>
        <v/>
      </c>
      <c r="N9" s="21" t="str">
        <f>IF(N$7="","",WEEKNUM(DATE($B$4,VLOOKUP($B$3,Sheet3!$A$1:$B$12,2,0),COLUMNS($B$8:M8)),2))</f>
        <v/>
      </c>
      <c r="O9" s="21" t="str">
        <f>IF(O$7="","",WEEKNUM(DATE($B$4,VLOOKUP($B$3,Sheet3!$A$1:$B$12,2,0),COLUMNS($B$8:N8)),2))</f>
        <v/>
      </c>
      <c r="P9" s="21" t="str">
        <f>IF(P$7="","",WEEKNUM(DATE($B$4,VLOOKUP($B$3,Sheet3!$A$1:$B$12,2,0),COLUMNS($B$8:O8)),2))</f>
        <v/>
      </c>
      <c r="Q9" s="21" t="str">
        <f>IF(Q$7="","",WEEKNUM(DATE($B$4,VLOOKUP($B$3,Sheet3!$A$1:$B$12,2,0),COLUMNS($B$8:P8)),2))</f>
        <v/>
      </c>
      <c r="R9" s="21" t="str">
        <f>IF(R$7="","",WEEKNUM(DATE($B$4,VLOOKUP($B$3,Sheet3!$A$1:$B$12,2,0),COLUMNS($B$8:Q8)),2))</f>
        <v/>
      </c>
      <c r="S9" s="21" t="str">
        <f>IF(S$7="","",WEEKNUM(DATE($B$4,VLOOKUP($B$3,Sheet3!$A$1:$B$12,2,0),COLUMNS($B$8:R8)),2))</f>
        <v/>
      </c>
      <c r="T9" s="21" t="str">
        <f>IF(T$7="","",WEEKNUM(DATE($B$4,VLOOKUP($B$3,Sheet3!$A$1:$B$12,2,0),COLUMNS($B$8:S8)),2))</f>
        <v/>
      </c>
      <c r="U9" s="21" t="str">
        <f>IF(U$7="","",WEEKNUM(DATE($B$4,VLOOKUP($B$3,Sheet3!$A$1:$B$12,2,0),COLUMNS($B$8:T8)),2))</f>
        <v/>
      </c>
      <c r="V9" s="21" t="str">
        <f>IF(V$7="","",WEEKNUM(DATE($B$4,VLOOKUP($B$3,Sheet3!$A$1:$B$12,2,0),COLUMNS($B$8:U8)),2))</f>
        <v/>
      </c>
      <c r="W9" s="21" t="str">
        <f>IF(W$7="","",WEEKNUM(DATE($B$4,VLOOKUP($B$3,Sheet3!$A$1:$B$12,2,0),COLUMNS($B$8:V8)),2))</f>
        <v/>
      </c>
      <c r="X9" s="21" t="str">
        <f>IF(X$7="","",WEEKNUM(DATE($B$4,VLOOKUP($B$3,Sheet3!$A$1:$B$12,2,0),COLUMNS($B$8:W8)),2))</f>
        <v/>
      </c>
      <c r="Y9" s="21" t="str">
        <f>IF(Y$7="","",WEEKNUM(DATE($B$4,VLOOKUP($B$3,Sheet3!$A$1:$B$12,2,0),COLUMNS($B$8:X8)),2))</f>
        <v/>
      </c>
      <c r="Z9" s="21" t="str">
        <f>IF(Z$7="","",WEEKNUM(DATE($B$4,VLOOKUP($B$3,Sheet3!$A$1:$B$12,2,0),COLUMNS($B$8:Y8)),2))</f>
        <v/>
      </c>
      <c r="AA9" s="21" t="str">
        <f>IF(AA$7="","",WEEKNUM(DATE($B$4,VLOOKUP($B$3,Sheet3!$A$1:$B$12,2,0),COLUMNS($B$8:Z8)),2))</f>
        <v/>
      </c>
      <c r="AB9" s="21" t="str">
        <f>IF(AB$7="","",WEEKNUM(DATE($B$4,VLOOKUP($B$3,Sheet3!$A$1:$B$12,2,0),COLUMNS($B$8:AA8)),2))</f>
        <v/>
      </c>
      <c r="AC9" s="21" t="str">
        <f>IF(AC$7="","",WEEKNUM(DATE($B$4,VLOOKUP($B$3,Sheet3!$A$1:$B$12,2,0),COLUMNS($B$8:AB8)),2))</f>
        <v/>
      </c>
      <c r="AD9" s="21" t="str">
        <f>IF(AD$7="","",WEEKNUM(DATE($B$4,VLOOKUP($B$3,Sheet3!$A$1:$B$12,2,0),COLUMNS($B$8:AC8)),2))</f>
        <v/>
      </c>
      <c r="AE9" s="21" t="str">
        <f>IF(AE$7="","",WEEKNUM(DATE($B$4,VLOOKUP($B$3,Sheet3!$A$1:$B$12,2,0),COLUMNS($B$8:AD8)),2))</f>
        <v/>
      </c>
      <c r="AF9" s="21" t="str">
        <f>IF(AF$7="","",WEEKNUM(DATE($B$4,VLOOKUP($B$3,Sheet3!$A$1:$B$12,2,0),COLUMNS($B$8:AE8)),2))</f>
        <v/>
      </c>
      <c r="AG9" s="21" t="str">
        <f>IF(AG$7="","",WEEKNUM(DATE($B$4,VLOOKUP($B$3,Sheet3!$A$1:$B$12,2,0),COLUMNS($B$8:AF8)),2))</f>
        <v/>
      </c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4"/>
      <c r="NL9" s="22"/>
      <c r="NM9" s="23"/>
      <c r="NN9" s="23"/>
      <c r="NO9" s="23"/>
      <c r="NP9" s="23"/>
      <c r="NQ9" s="23"/>
      <c r="NR9" s="23"/>
      <c r="NS9" s="23"/>
      <c r="NX9" s="1"/>
      <c r="NY9" s="1"/>
      <c r="NZ9" s="1"/>
    </row>
    <row r="10" spans="1:762" x14ac:dyDescent="0.35">
      <c r="B10" s="54" t="s">
        <v>73</v>
      </c>
      <c r="C10" s="55"/>
      <c r="D10" s="56"/>
      <c r="E10" s="57"/>
      <c r="F10" s="59"/>
      <c r="G10" s="58"/>
      <c r="H10" s="55"/>
      <c r="I10" s="55"/>
      <c r="J10" s="55"/>
      <c r="K10" s="55"/>
      <c r="L10" s="55"/>
      <c r="M10" s="55"/>
      <c r="N10" s="59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55"/>
      <c r="CO10" s="55"/>
      <c r="CP10" s="55"/>
      <c r="CQ10" s="55"/>
      <c r="CR10" s="55"/>
      <c r="CS10" s="55"/>
      <c r="CT10" s="55"/>
      <c r="CU10" s="55"/>
      <c r="CV10" s="55"/>
      <c r="CW10" s="55"/>
      <c r="CX10" s="55"/>
      <c r="CY10" s="55"/>
      <c r="CZ10" s="55"/>
      <c r="DA10" s="55"/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5"/>
      <c r="DR10" s="55"/>
      <c r="DS10" s="55"/>
      <c r="DT10" s="55"/>
      <c r="DU10" s="55"/>
      <c r="DV10" s="55"/>
      <c r="DW10" s="55"/>
      <c r="DX10" s="55"/>
      <c r="DY10" s="55"/>
      <c r="DZ10" s="55"/>
      <c r="EA10" s="55"/>
      <c r="EB10" s="55"/>
      <c r="EC10" s="55"/>
      <c r="ED10" s="55"/>
      <c r="EE10" s="55"/>
      <c r="EF10" s="55"/>
      <c r="EG10" s="55"/>
      <c r="EH10" s="55"/>
      <c r="EI10" s="55"/>
      <c r="EJ10" s="55"/>
      <c r="EK10" s="55"/>
      <c r="EL10" s="55"/>
      <c r="EM10" s="55"/>
      <c r="EN10" s="55"/>
      <c r="EO10" s="55"/>
      <c r="EP10" s="55"/>
      <c r="EQ10" s="55"/>
      <c r="ER10" s="55"/>
      <c r="ES10" s="55"/>
      <c r="ET10" s="55"/>
      <c r="EU10" s="55"/>
      <c r="EV10" s="55"/>
      <c r="EW10" s="55"/>
      <c r="EX10" s="55"/>
      <c r="EY10" s="55"/>
      <c r="EZ10" s="55"/>
      <c r="FA10" s="55"/>
      <c r="FB10" s="55"/>
      <c r="FC10" s="55"/>
      <c r="FD10" s="55"/>
      <c r="FE10" s="55"/>
      <c r="FF10" s="55"/>
      <c r="FG10" s="55"/>
      <c r="FH10" s="55"/>
      <c r="FI10" s="55"/>
      <c r="FJ10" s="55"/>
      <c r="FK10" s="55"/>
      <c r="FL10" s="55"/>
      <c r="FM10" s="55"/>
      <c r="FN10" s="55"/>
      <c r="FO10" s="55"/>
      <c r="FP10" s="55"/>
      <c r="FQ10" s="55"/>
      <c r="FR10" s="55"/>
      <c r="FS10" s="55"/>
      <c r="FT10" s="55"/>
      <c r="FU10" s="55"/>
      <c r="FV10" s="55"/>
      <c r="FW10" s="55"/>
      <c r="FX10" s="55"/>
      <c r="FY10" s="55"/>
      <c r="FZ10" s="55"/>
      <c r="GA10" s="55"/>
      <c r="GB10" s="55"/>
      <c r="GC10" s="55"/>
      <c r="GD10" s="55"/>
      <c r="GE10" s="55"/>
      <c r="GF10" s="55"/>
      <c r="GG10" s="55"/>
      <c r="GH10" s="55"/>
      <c r="GI10" s="55"/>
      <c r="GJ10" s="55"/>
      <c r="GK10" s="55"/>
      <c r="GL10" s="55"/>
      <c r="GM10" s="55"/>
      <c r="GN10" s="55"/>
      <c r="GO10" s="55"/>
      <c r="GP10" s="55"/>
      <c r="GQ10" s="55"/>
      <c r="GR10" s="55"/>
      <c r="GS10" s="55"/>
      <c r="GT10" s="55"/>
      <c r="GU10" s="55"/>
      <c r="GV10" s="55"/>
      <c r="GW10" s="55"/>
      <c r="GX10" s="55"/>
      <c r="GY10" s="55"/>
      <c r="GZ10" s="55"/>
      <c r="HA10" s="55"/>
      <c r="HB10" s="55"/>
      <c r="HC10" s="55"/>
      <c r="HD10" s="55"/>
      <c r="HE10" s="55"/>
      <c r="HF10" s="55"/>
      <c r="HG10" s="55"/>
      <c r="HH10" s="55"/>
      <c r="HI10" s="55"/>
      <c r="HJ10" s="55"/>
      <c r="HK10" s="55"/>
      <c r="HL10" s="55"/>
      <c r="HM10" s="55"/>
      <c r="HN10" s="55"/>
      <c r="HO10" s="55"/>
      <c r="HP10" s="55"/>
      <c r="HQ10" s="55"/>
      <c r="HR10" s="55"/>
      <c r="HS10" s="55"/>
      <c r="HT10" s="55"/>
      <c r="HU10" s="55"/>
      <c r="HV10" s="55"/>
      <c r="HW10" s="55"/>
      <c r="HX10" s="55"/>
      <c r="HY10" s="55"/>
      <c r="HZ10" s="55"/>
      <c r="IA10" s="55"/>
      <c r="IB10" s="55"/>
      <c r="IC10" s="55"/>
      <c r="ID10" s="55"/>
      <c r="IE10" s="55"/>
      <c r="IF10" s="55"/>
      <c r="IG10" s="55"/>
      <c r="IH10" s="55"/>
      <c r="II10" s="55"/>
      <c r="IJ10" s="55"/>
      <c r="IK10" s="55"/>
      <c r="IL10" s="55"/>
      <c r="IM10" s="55"/>
      <c r="IN10" s="55"/>
      <c r="IO10" s="55"/>
      <c r="IP10" s="55"/>
      <c r="IQ10" s="55"/>
      <c r="IR10" s="55"/>
      <c r="IS10" s="55"/>
      <c r="IT10" s="55"/>
      <c r="IU10" s="55"/>
      <c r="IV10" s="55"/>
      <c r="IW10" s="55"/>
      <c r="IX10" s="55"/>
      <c r="IY10" s="55"/>
      <c r="IZ10" s="55"/>
      <c r="JA10" s="55"/>
      <c r="JB10" s="55"/>
      <c r="JC10" s="55"/>
      <c r="JD10" s="55"/>
      <c r="JE10" s="55"/>
      <c r="JF10" s="55"/>
      <c r="JG10" s="55"/>
      <c r="JH10" s="55"/>
      <c r="JI10" s="55"/>
      <c r="JJ10" s="55"/>
      <c r="JK10" s="55"/>
      <c r="JL10" s="55"/>
      <c r="JM10" s="55"/>
      <c r="JN10" s="55"/>
      <c r="JO10" s="55"/>
      <c r="JP10" s="55"/>
      <c r="JQ10" s="55"/>
      <c r="JR10" s="55"/>
      <c r="JS10" s="55"/>
      <c r="JT10" s="55"/>
      <c r="JU10" s="55"/>
      <c r="JV10" s="55"/>
      <c r="JW10" s="55"/>
      <c r="JX10" s="55"/>
      <c r="JY10" s="55"/>
      <c r="JZ10" s="55"/>
      <c r="KA10" s="55"/>
      <c r="KB10" s="55"/>
      <c r="KC10" s="55"/>
      <c r="KD10" s="55"/>
      <c r="KE10" s="55"/>
      <c r="KF10" s="55"/>
      <c r="KG10" s="55"/>
      <c r="KH10" s="55"/>
      <c r="KI10" s="55"/>
      <c r="KJ10" s="55"/>
      <c r="KK10" s="55"/>
      <c r="KL10" s="55"/>
      <c r="KM10" s="55"/>
      <c r="KN10" s="55"/>
      <c r="KO10" s="55"/>
      <c r="KP10" s="55"/>
      <c r="KQ10" s="55"/>
      <c r="KR10" s="55"/>
      <c r="KS10" s="55"/>
      <c r="KT10" s="55"/>
      <c r="KU10" s="55"/>
      <c r="KV10" s="55"/>
      <c r="KW10" s="55"/>
      <c r="KX10" s="55"/>
      <c r="KY10" s="55"/>
      <c r="KZ10" s="55"/>
      <c r="LA10" s="55"/>
      <c r="LB10" s="55"/>
      <c r="LC10" s="55"/>
      <c r="LD10" s="55"/>
      <c r="LE10" s="55"/>
      <c r="LF10" s="55"/>
      <c r="LG10" s="55"/>
      <c r="LH10" s="55"/>
      <c r="LI10" s="55"/>
      <c r="LJ10" s="55"/>
      <c r="LK10" s="55"/>
      <c r="LL10" s="55"/>
      <c r="LM10" s="55"/>
      <c r="LN10" s="55"/>
      <c r="LO10" s="55"/>
      <c r="LP10" s="55"/>
      <c r="LQ10" s="55"/>
      <c r="LR10" s="55"/>
      <c r="LS10" s="55"/>
      <c r="LT10" s="55"/>
      <c r="LU10" s="55"/>
      <c r="LV10" s="55"/>
      <c r="LW10" s="55"/>
      <c r="LX10" s="55"/>
      <c r="LY10" s="55"/>
      <c r="LZ10" s="55"/>
      <c r="MA10" s="55"/>
      <c r="MB10" s="55"/>
      <c r="MC10" s="55"/>
      <c r="MD10" s="55"/>
      <c r="ME10" s="55"/>
      <c r="MF10" s="55"/>
      <c r="MG10" s="55"/>
      <c r="MH10" s="55"/>
      <c r="MI10" s="55"/>
      <c r="MJ10" s="55"/>
      <c r="MK10" s="55"/>
      <c r="ML10" s="55"/>
      <c r="MM10" s="55"/>
      <c r="MN10" s="55"/>
      <c r="MO10" s="55"/>
      <c r="MP10" s="55"/>
      <c r="MQ10" s="55"/>
      <c r="MR10" s="55"/>
      <c r="MS10" s="55"/>
      <c r="MT10" s="55"/>
      <c r="MU10" s="55"/>
      <c r="MV10" s="55"/>
      <c r="MW10" s="55"/>
      <c r="MX10" s="55"/>
      <c r="MY10" s="55"/>
      <c r="MZ10" s="59"/>
      <c r="NA10" s="55"/>
      <c r="NB10" s="55"/>
      <c r="NC10" s="55"/>
      <c r="ND10" s="55"/>
      <c r="NE10" s="55"/>
      <c r="NF10" s="55"/>
      <c r="NG10" s="55"/>
      <c r="NH10" s="55"/>
      <c r="NI10" s="55"/>
      <c r="NJ10" s="2"/>
      <c r="NK10" s="15" cm="1">
        <f t="array" aca="1" ref="NK10" ca="1">SUMPRODUCT((OFFSET($B10,0,31*($B$5-1)+1,1,31)&lt;&gt;"")*(IF(OFFSET($B10,0,31*($B$5-1)+1,1,31)=$NY$12,0.5,IF(OFFSET($B10,0,31*($B$5-1)+1,1,31)=$NY$13,0.5,1))*(OFFSET($B$6,0,31*($B$5-1)+1,1,31))))</f>
        <v>0</v>
      </c>
      <c r="NL10" s="19" cm="1">
        <f t="array" aca="1" ref="NL10" ca="1">SUMPRODUCT((OFFSET($B10,0,1,1,372)&lt;&gt;"")*(IF(OFFSET($B10,0,1,1,372)=$NY$12,0.5,IF(OFFSET($B10,0,1,1,372)=$NY$13,0.5,1))*(OFFSET($B$5,0,1,1,372))))</f>
        <v>0</v>
      </c>
      <c r="NM10" s="38">
        <f t="shared" ref="NM10:NS10" ca="1" si="6">SUMPRODUCT((OFFSET($B10,0,1,1,372)&lt;&gt;"")*(OFFSET($B$5,0,1,1,372))*((OFFSET($B10,0,1,1,372))=NM$7))</f>
        <v>0</v>
      </c>
      <c r="NN10" s="38">
        <f t="shared" ca="1" si="6"/>
        <v>0</v>
      </c>
      <c r="NO10" s="38">
        <f t="shared" ca="1" si="6"/>
        <v>0</v>
      </c>
      <c r="NP10" s="38">
        <f t="shared" ca="1" si="6"/>
        <v>0</v>
      </c>
      <c r="NQ10" s="38">
        <f t="shared" ca="1" si="6"/>
        <v>0</v>
      </c>
      <c r="NR10" s="38">
        <f t="shared" ca="1" si="6"/>
        <v>0</v>
      </c>
      <c r="NS10" s="38">
        <f t="shared" ca="1" si="6"/>
        <v>0</v>
      </c>
      <c r="NX10" s="43" t="s">
        <v>49</v>
      </c>
      <c r="NY10" s="44" t="s">
        <v>57</v>
      </c>
      <c r="NZ10" s="1">
        <v>1</v>
      </c>
    </row>
    <row r="11" spans="1:762" x14ac:dyDescent="0.35">
      <c r="A11" s="52"/>
      <c r="B11" s="53" t="s">
        <v>76</v>
      </c>
      <c r="C11" s="55"/>
      <c r="D11" s="59"/>
      <c r="E11" s="56"/>
      <c r="F11" s="59"/>
      <c r="G11" s="55"/>
      <c r="H11" s="55"/>
      <c r="I11" s="55"/>
      <c r="J11" s="55"/>
      <c r="K11" s="55"/>
      <c r="L11" s="55"/>
      <c r="M11" s="55"/>
      <c r="N11" s="59"/>
      <c r="O11" s="59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61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55"/>
      <c r="CO11" s="55"/>
      <c r="CP11" s="55"/>
      <c r="CQ11" s="55"/>
      <c r="CR11" s="55"/>
      <c r="CS11" s="55"/>
      <c r="CT11" s="55"/>
      <c r="CU11" s="55"/>
      <c r="CV11" s="55"/>
      <c r="CW11" s="55"/>
      <c r="CX11" s="55"/>
      <c r="CY11" s="55"/>
      <c r="CZ11" s="55"/>
      <c r="DA11" s="55"/>
      <c r="DB11" s="55"/>
      <c r="DC11" s="55"/>
      <c r="DD11" s="55"/>
      <c r="DE11" s="55"/>
      <c r="DF11" s="55"/>
      <c r="DG11" s="55"/>
      <c r="DH11" s="55"/>
      <c r="DI11" s="55"/>
      <c r="DJ11" s="55"/>
      <c r="DK11" s="55"/>
      <c r="DL11" s="55"/>
      <c r="DM11" s="55"/>
      <c r="DN11" s="55"/>
      <c r="DO11" s="55"/>
      <c r="DP11" s="55"/>
      <c r="DQ11" s="55"/>
      <c r="DR11" s="55"/>
      <c r="DS11" s="55"/>
      <c r="DT11" s="55"/>
      <c r="DU11" s="55"/>
      <c r="DV11" s="55"/>
      <c r="DW11" s="55"/>
      <c r="DX11" s="55"/>
      <c r="DY11" s="55"/>
      <c r="DZ11" s="55"/>
      <c r="EA11" s="55"/>
      <c r="EB11" s="55"/>
      <c r="EC11" s="55"/>
      <c r="ED11" s="55"/>
      <c r="EE11" s="55"/>
      <c r="EF11" s="55"/>
      <c r="EG11" s="55"/>
      <c r="EH11" s="55"/>
      <c r="EI11" s="55"/>
      <c r="EJ11" s="55"/>
      <c r="EK11" s="55"/>
      <c r="EL11" s="55"/>
      <c r="EM11" s="55"/>
      <c r="EN11" s="55"/>
      <c r="EO11" s="55"/>
      <c r="EP11" s="55"/>
      <c r="EQ11" s="55"/>
      <c r="ER11" s="55"/>
      <c r="ES11" s="55"/>
      <c r="ET11" s="55"/>
      <c r="EU11" s="55"/>
      <c r="EV11" s="55"/>
      <c r="EW11" s="55"/>
      <c r="EX11" s="55"/>
      <c r="EY11" s="55"/>
      <c r="EZ11" s="55"/>
      <c r="FA11" s="55"/>
      <c r="FB11" s="55"/>
      <c r="FC11" s="55"/>
      <c r="FD11" s="55"/>
      <c r="FE11" s="55"/>
      <c r="FF11" s="55"/>
      <c r="FG11" s="55"/>
      <c r="FH11" s="55"/>
      <c r="FI11" s="55"/>
      <c r="FJ11" s="55"/>
      <c r="FK11" s="55"/>
      <c r="FL11" s="55"/>
      <c r="FM11" s="55"/>
      <c r="FN11" s="55"/>
      <c r="FO11" s="55"/>
      <c r="FP11" s="55"/>
      <c r="FQ11" s="55"/>
      <c r="FR11" s="55"/>
      <c r="FS11" s="55"/>
      <c r="FT11" s="55"/>
      <c r="FU11" s="55"/>
      <c r="FV11" s="55"/>
      <c r="FW11" s="55"/>
      <c r="FX11" s="55"/>
      <c r="FY11" s="55"/>
      <c r="FZ11" s="55"/>
      <c r="GA11" s="55"/>
      <c r="GB11" s="55"/>
      <c r="GC11" s="55"/>
      <c r="GD11" s="55"/>
      <c r="GE11" s="55"/>
      <c r="GF11" s="55"/>
      <c r="GG11" s="55"/>
      <c r="GH11" s="55"/>
      <c r="GI11" s="55"/>
      <c r="GJ11" s="55"/>
      <c r="GK11" s="55"/>
      <c r="GL11" s="55"/>
      <c r="GM11" s="55"/>
      <c r="GN11" s="55"/>
      <c r="GO11" s="55"/>
      <c r="GP11" s="55"/>
      <c r="GQ11" s="55"/>
      <c r="GR11" s="55"/>
      <c r="GS11" s="55"/>
      <c r="GT11" s="55"/>
      <c r="GU11" s="55"/>
      <c r="GV11" s="55"/>
      <c r="GW11" s="55"/>
      <c r="GX11" s="55"/>
      <c r="GY11" s="55"/>
      <c r="GZ11" s="55"/>
      <c r="HA11" s="55"/>
      <c r="HB11" s="55"/>
      <c r="HC11" s="55"/>
      <c r="HD11" s="55"/>
      <c r="HE11" s="55"/>
      <c r="HF11" s="55"/>
      <c r="HG11" s="55"/>
      <c r="HH11" s="55"/>
      <c r="HI11" s="55"/>
      <c r="HJ11" s="55"/>
      <c r="HK11" s="55"/>
      <c r="HL11" s="55"/>
      <c r="HM11" s="55"/>
      <c r="HN11" s="55"/>
      <c r="HO11" s="55"/>
      <c r="HP11" s="55"/>
      <c r="HQ11" s="55"/>
      <c r="HR11" s="55"/>
      <c r="HS11" s="55"/>
      <c r="HT11" s="55"/>
      <c r="HU11" s="55"/>
      <c r="HV11" s="55"/>
      <c r="HW11" s="55"/>
      <c r="HX11" s="55"/>
      <c r="HY11" s="55"/>
      <c r="HZ11" s="55"/>
      <c r="IA11" s="55"/>
      <c r="IB11" s="55"/>
      <c r="IC11" s="55"/>
      <c r="ID11" s="55"/>
      <c r="IE11" s="55"/>
      <c r="IF11" s="55"/>
      <c r="IG11" s="55"/>
      <c r="IH11" s="55"/>
      <c r="II11" s="55"/>
      <c r="IJ11" s="55"/>
      <c r="IK11" s="55"/>
      <c r="IL11" s="55"/>
      <c r="IM11" s="55"/>
      <c r="IN11" s="55"/>
      <c r="IO11" s="55"/>
      <c r="IP11" s="55"/>
      <c r="IQ11" s="55"/>
      <c r="IR11" s="55"/>
      <c r="IS11" s="55"/>
      <c r="IT11" s="55"/>
      <c r="IU11" s="55"/>
      <c r="IV11" s="55"/>
      <c r="IW11" s="55"/>
      <c r="IX11" s="55"/>
      <c r="IY11" s="55"/>
      <c r="IZ11" s="55"/>
      <c r="JA11" s="55"/>
      <c r="JB11" s="55"/>
      <c r="JC11" s="55"/>
      <c r="JD11" s="55"/>
      <c r="JE11" s="55"/>
      <c r="JF11" s="55"/>
      <c r="JG11" s="55"/>
      <c r="JH11" s="55"/>
      <c r="JI11" s="55"/>
      <c r="JJ11" s="55"/>
      <c r="JK11" s="55"/>
      <c r="JL11" s="55"/>
      <c r="JM11" s="55"/>
      <c r="JN11" s="55"/>
      <c r="JO11" s="55"/>
      <c r="JP11" s="55"/>
      <c r="JQ11" s="55"/>
      <c r="JR11" s="55"/>
      <c r="JS11" s="55"/>
      <c r="JT11" s="55"/>
      <c r="JU11" s="55"/>
      <c r="JV11" s="55"/>
      <c r="JW11" s="55"/>
      <c r="JX11" s="55"/>
      <c r="JY11" s="55"/>
      <c r="JZ11" s="55"/>
      <c r="KA11" s="55"/>
      <c r="KB11" s="55"/>
      <c r="KC11" s="55"/>
      <c r="KD11" s="55"/>
      <c r="KE11" s="55"/>
      <c r="KF11" s="55"/>
      <c r="KG11" s="55"/>
      <c r="KH11" s="55"/>
      <c r="KI11" s="55"/>
      <c r="KJ11" s="55"/>
      <c r="KK11" s="55"/>
      <c r="KL11" s="55"/>
      <c r="KM11" s="55"/>
      <c r="KN11" s="55"/>
      <c r="KO11" s="55"/>
      <c r="KP11" s="55"/>
      <c r="KQ11" s="55"/>
      <c r="KR11" s="55"/>
      <c r="KS11" s="55"/>
      <c r="KT11" s="55"/>
      <c r="KU11" s="55"/>
      <c r="KV11" s="55"/>
      <c r="KW11" s="55"/>
      <c r="KX11" s="55"/>
      <c r="KY11" s="55"/>
      <c r="KZ11" s="55"/>
      <c r="LA11" s="55"/>
      <c r="LB11" s="55"/>
      <c r="LC11" s="55"/>
      <c r="LD11" s="55"/>
      <c r="LE11" s="55"/>
      <c r="LF11" s="55"/>
      <c r="LG11" s="55"/>
      <c r="LH11" s="55"/>
      <c r="LI11" s="55"/>
      <c r="LJ11" s="55"/>
      <c r="LK11" s="55"/>
      <c r="LL11" s="55"/>
      <c r="LM11" s="55"/>
      <c r="LN11" s="55"/>
      <c r="LO11" s="55"/>
      <c r="LP11" s="55"/>
      <c r="LQ11" s="55"/>
      <c r="LR11" s="55"/>
      <c r="LS11" s="55"/>
      <c r="LT11" s="55"/>
      <c r="LU11" s="55"/>
      <c r="LV11" s="55"/>
      <c r="LW11" s="55"/>
      <c r="LX11" s="55"/>
      <c r="LY11" s="55"/>
      <c r="LZ11" s="55"/>
      <c r="MA11" s="55"/>
      <c r="MB11" s="55"/>
      <c r="MC11" s="55"/>
      <c r="MD11" s="55"/>
      <c r="ME11" s="59"/>
      <c r="MF11" s="55"/>
      <c r="MG11" s="55"/>
      <c r="MH11" s="55"/>
      <c r="MI11" s="55"/>
      <c r="MJ11" s="55"/>
      <c r="MK11" s="55"/>
      <c r="ML11" s="55"/>
      <c r="MM11" s="55"/>
      <c r="MN11" s="55"/>
      <c r="MO11" s="55"/>
      <c r="MP11" s="55"/>
      <c r="MQ11" s="56"/>
      <c r="MR11" s="55"/>
      <c r="MS11" s="55"/>
      <c r="MT11" s="55"/>
      <c r="MU11" s="55"/>
      <c r="MV11" s="55"/>
      <c r="MW11" s="59"/>
      <c r="MX11" s="55"/>
      <c r="MY11" s="55"/>
      <c r="MZ11" s="59"/>
      <c r="NA11" s="55"/>
      <c r="NB11" s="55"/>
      <c r="NC11" s="55"/>
      <c r="ND11" s="55"/>
      <c r="NE11" s="55"/>
      <c r="NF11" s="55"/>
      <c r="NG11" s="55"/>
      <c r="NH11" s="55"/>
      <c r="NI11" s="55"/>
      <c r="NJ11" s="2"/>
      <c r="NK11" s="15" cm="1">
        <f t="array" aca="1" ref="NK11" ca="1">SUMPRODUCT((OFFSET($B11,0,31*($B$5-1)+1,1,31)&lt;&gt;"")*(IF(OFFSET($B11,0,31*($B$5-1)+1,1,31)=$NY$12,0.5,IF(OFFSET($B11,0,31*($B$5-1)+1,1,31)=$NY$13,0.5,1))*(OFFSET($B$6,0,31*($B$5-1)+1,1,31))))</f>
        <v>0</v>
      </c>
      <c r="NL11" s="19" cm="1">
        <f t="array" aca="1" ref="NL11" ca="1">SUMPRODUCT((OFFSET($B11,0,1,1,372)&lt;&gt;"")*(IF(OFFSET($B11,0,1,1,372)=$NY$12,0.5,IF(OFFSET($B11,0,1,1,372)=$NY$13,0.5,1))*(OFFSET($B$5,0,1,1,372))))</f>
        <v>0</v>
      </c>
      <c r="NM11" s="38">
        <f t="shared" ref="NM11:NR44" ca="1" si="7">SUMPRODUCT((OFFSET($B11,0,1,1,372)&lt;&gt;"")*(OFFSET($B$5,0,1,1,372))*((OFFSET($B11,0,1,1,372))=NM$7))</f>
        <v>0</v>
      </c>
      <c r="NN11" s="38">
        <f t="shared" ca="1" si="7"/>
        <v>0</v>
      </c>
      <c r="NO11" s="38">
        <f t="shared" ca="1" si="7"/>
        <v>0</v>
      </c>
      <c r="NP11" s="38">
        <f t="shared" ca="1" si="7"/>
        <v>0</v>
      </c>
      <c r="NQ11" s="38">
        <f t="shared" ca="1" si="7"/>
        <v>0</v>
      </c>
      <c r="NR11" s="38">
        <f t="shared" ca="1" si="7"/>
        <v>0</v>
      </c>
      <c r="NS11" s="38">
        <f t="shared" ref="NS11:NS45" ca="1" si="8">SUMPRODUCT((OFFSET($B11,0,1,1,372)&lt;&gt;"")*(OFFSET($B$5,0,1,1,372))*((OFFSET($B11,0,1,1,372))=NS$7))</f>
        <v>0</v>
      </c>
      <c r="NX11" s="45" t="s">
        <v>50</v>
      </c>
      <c r="NY11" s="46" t="s">
        <v>51</v>
      </c>
      <c r="NZ11" s="1">
        <v>1</v>
      </c>
    </row>
    <row r="12" spans="1:762" x14ac:dyDescent="0.35">
      <c r="A12" s="52"/>
      <c r="B12" s="30" t="s">
        <v>74</v>
      </c>
      <c r="C12" s="59"/>
      <c r="D12" s="56"/>
      <c r="E12" s="56"/>
      <c r="F12" s="56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55"/>
      <c r="CO12" s="55"/>
      <c r="CP12" s="55"/>
      <c r="CQ12" s="55"/>
      <c r="CR12" s="55"/>
      <c r="CS12" s="55"/>
      <c r="CT12" s="55"/>
      <c r="CU12" s="55"/>
      <c r="CV12" s="55"/>
      <c r="CW12" s="55"/>
      <c r="CX12" s="55"/>
      <c r="CY12" s="55"/>
      <c r="CZ12" s="55"/>
      <c r="DA12" s="55"/>
      <c r="DB12" s="55"/>
      <c r="DC12" s="55"/>
      <c r="DD12" s="55"/>
      <c r="DE12" s="55"/>
      <c r="DF12" s="55"/>
      <c r="DG12" s="55"/>
      <c r="DH12" s="55"/>
      <c r="DI12" s="55"/>
      <c r="DJ12" s="55"/>
      <c r="DK12" s="55"/>
      <c r="DL12" s="55"/>
      <c r="DM12" s="55"/>
      <c r="DN12" s="55"/>
      <c r="DO12" s="55"/>
      <c r="DP12" s="55"/>
      <c r="DQ12" s="55"/>
      <c r="DR12" s="55"/>
      <c r="DS12" s="55"/>
      <c r="DT12" s="55"/>
      <c r="DU12" s="55"/>
      <c r="DV12" s="55"/>
      <c r="DW12" s="55"/>
      <c r="DX12" s="55"/>
      <c r="DY12" s="55"/>
      <c r="DZ12" s="55"/>
      <c r="EA12" s="55"/>
      <c r="EB12" s="55"/>
      <c r="EC12" s="55"/>
      <c r="ED12" s="55"/>
      <c r="EE12" s="55"/>
      <c r="EF12" s="55"/>
      <c r="EG12" s="55"/>
      <c r="EH12" s="55"/>
      <c r="EI12" s="55"/>
      <c r="EJ12" s="55"/>
      <c r="EK12" s="55"/>
      <c r="EL12" s="55"/>
      <c r="EM12" s="55"/>
      <c r="EN12" s="55"/>
      <c r="EO12" s="55"/>
      <c r="EP12" s="55"/>
      <c r="EQ12" s="55"/>
      <c r="ER12" s="55"/>
      <c r="ES12" s="55"/>
      <c r="ET12" s="55"/>
      <c r="EU12" s="55"/>
      <c r="EV12" s="55"/>
      <c r="EW12" s="55"/>
      <c r="EX12" s="55"/>
      <c r="EY12" s="55"/>
      <c r="EZ12" s="55"/>
      <c r="FA12" s="55"/>
      <c r="FB12" s="55"/>
      <c r="FC12" s="55"/>
      <c r="FD12" s="55"/>
      <c r="FE12" s="55"/>
      <c r="FF12" s="55"/>
      <c r="FG12" s="55"/>
      <c r="FH12" s="55"/>
      <c r="FI12" s="55"/>
      <c r="FJ12" s="55"/>
      <c r="FK12" s="55"/>
      <c r="FL12" s="55"/>
      <c r="FM12" s="55"/>
      <c r="FN12" s="55"/>
      <c r="FO12" s="55"/>
      <c r="FP12" s="55"/>
      <c r="FQ12" s="55"/>
      <c r="FR12" s="55"/>
      <c r="FS12" s="55"/>
      <c r="FT12" s="55"/>
      <c r="FU12" s="55"/>
      <c r="FV12" s="55"/>
      <c r="FW12" s="55"/>
      <c r="FX12" s="55"/>
      <c r="FY12" s="55"/>
      <c r="FZ12" s="55"/>
      <c r="GA12" s="55"/>
      <c r="GB12" s="55"/>
      <c r="GC12" s="55"/>
      <c r="GD12" s="55"/>
      <c r="GE12" s="55"/>
      <c r="GF12" s="55"/>
      <c r="GG12" s="55"/>
      <c r="GH12" s="55"/>
      <c r="GI12" s="55"/>
      <c r="GJ12" s="55"/>
      <c r="GK12" s="55"/>
      <c r="GL12" s="55"/>
      <c r="GM12" s="55"/>
      <c r="GN12" s="55"/>
      <c r="GO12" s="55"/>
      <c r="GP12" s="55"/>
      <c r="GQ12" s="55"/>
      <c r="GR12" s="55"/>
      <c r="GS12" s="55"/>
      <c r="GT12" s="55"/>
      <c r="GU12" s="55"/>
      <c r="GV12" s="55"/>
      <c r="GW12" s="55"/>
      <c r="GX12" s="55"/>
      <c r="GY12" s="55"/>
      <c r="GZ12" s="55"/>
      <c r="HA12" s="55"/>
      <c r="HB12" s="55"/>
      <c r="HC12" s="55"/>
      <c r="HD12" s="55"/>
      <c r="HE12" s="55"/>
      <c r="HF12" s="55"/>
      <c r="HG12" s="55"/>
      <c r="HH12" s="55"/>
      <c r="HI12" s="55"/>
      <c r="HJ12" s="55"/>
      <c r="HK12" s="55"/>
      <c r="HL12" s="55"/>
      <c r="HM12" s="55"/>
      <c r="HN12" s="55"/>
      <c r="HO12" s="55"/>
      <c r="HP12" s="55"/>
      <c r="HQ12" s="55"/>
      <c r="HR12" s="55"/>
      <c r="HS12" s="55"/>
      <c r="HT12" s="55"/>
      <c r="HU12" s="55"/>
      <c r="HV12" s="55"/>
      <c r="HW12" s="55"/>
      <c r="HX12" s="55"/>
      <c r="HY12" s="55"/>
      <c r="HZ12" s="55"/>
      <c r="IA12" s="55"/>
      <c r="IB12" s="55"/>
      <c r="IC12" s="55"/>
      <c r="ID12" s="55"/>
      <c r="IE12" s="55"/>
      <c r="IF12" s="55"/>
      <c r="IG12" s="55"/>
      <c r="IH12" s="55"/>
      <c r="II12" s="55"/>
      <c r="IJ12" s="55"/>
      <c r="IK12" s="55"/>
      <c r="IL12" s="55"/>
      <c r="IM12" s="55"/>
      <c r="IN12" s="55"/>
      <c r="IO12" s="55"/>
      <c r="IP12" s="55"/>
      <c r="IQ12" s="55"/>
      <c r="IR12" s="55"/>
      <c r="IS12" s="55"/>
      <c r="IT12" s="55"/>
      <c r="IU12" s="55"/>
      <c r="IV12" s="55"/>
      <c r="IW12" s="55"/>
      <c r="IX12" s="55"/>
      <c r="IY12" s="55"/>
      <c r="IZ12" s="55"/>
      <c r="JA12" s="55"/>
      <c r="JB12" s="55"/>
      <c r="JC12" s="55"/>
      <c r="JD12" s="55"/>
      <c r="JE12" s="55"/>
      <c r="JF12" s="55"/>
      <c r="JG12" s="55"/>
      <c r="JH12" s="55"/>
      <c r="JI12" s="55"/>
      <c r="JJ12" s="55"/>
      <c r="JK12" s="55"/>
      <c r="JL12" s="55"/>
      <c r="JM12" s="55"/>
      <c r="JN12" s="55"/>
      <c r="JO12" s="55"/>
      <c r="JP12" s="55"/>
      <c r="JQ12" s="55"/>
      <c r="JR12" s="55"/>
      <c r="JS12" s="55"/>
      <c r="JT12" s="55"/>
      <c r="JU12" s="55"/>
      <c r="JV12" s="55"/>
      <c r="JW12" s="55"/>
      <c r="JX12" s="55"/>
      <c r="JY12" s="55"/>
      <c r="JZ12" s="55"/>
      <c r="KA12" s="55"/>
      <c r="KB12" s="55"/>
      <c r="KC12" s="55"/>
      <c r="KD12" s="55"/>
      <c r="KE12" s="55"/>
      <c r="KF12" s="55"/>
      <c r="KG12" s="55"/>
      <c r="KH12" s="55"/>
      <c r="KI12" s="55"/>
      <c r="KJ12" s="55"/>
      <c r="KK12" s="55"/>
      <c r="KL12" s="55"/>
      <c r="KM12" s="55"/>
      <c r="KN12" s="55"/>
      <c r="KO12" s="55"/>
      <c r="KP12" s="55"/>
      <c r="KQ12" s="55"/>
      <c r="KR12" s="55"/>
      <c r="KS12" s="55"/>
      <c r="KT12" s="55"/>
      <c r="KU12" s="55"/>
      <c r="KV12" s="55"/>
      <c r="KW12" s="55"/>
      <c r="KX12" s="55"/>
      <c r="KY12" s="55"/>
      <c r="KZ12" s="55"/>
      <c r="LA12" s="55"/>
      <c r="LB12" s="55"/>
      <c r="LC12" s="55"/>
      <c r="LD12" s="55"/>
      <c r="LE12" s="55"/>
      <c r="LF12" s="55"/>
      <c r="LG12" s="55"/>
      <c r="LH12" s="55"/>
      <c r="LI12" s="55"/>
      <c r="LJ12" s="55"/>
      <c r="LK12" s="55"/>
      <c r="LL12" s="55"/>
      <c r="LM12" s="55"/>
      <c r="LN12" s="55"/>
      <c r="LO12" s="55"/>
      <c r="LP12" s="55"/>
      <c r="LQ12" s="55"/>
      <c r="LR12" s="55"/>
      <c r="LS12" s="55"/>
      <c r="LT12" s="55"/>
      <c r="LU12" s="55"/>
      <c r="LV12" s="55"/>
      <c r="LW12" s="55"/>
      <c r="LX12" s="55"/>
      <c r="LY12" s="55"/>
      <c r="LZ12" s="55"/>
      <c r="MA12" s="55"/>
      <c r="MB12" s="55"/>
      <c r="MC12" s="55"/>
      <c r="MD12" s="55"/>
      <c r="ME12" s="59"/>
      <c r="MF12" s="59"/>
      <c r="MG12" s="55"/>
      <c r="MH12" s="55"/>
      <c r="MI12" s="55"/>
      <c r="MJ12" s="55"/>
      <c r="MK12" s="55"/>
      <c r="ML12" s="55"/>
      <c r="MM12" s="55"/>
      <c r="MN12" s="55"/>
      <c r="MO12" s="55"/>
      <c r="MP12" s="55"/>
      <c r="MQ12" s="59"/>
      <c r="MR12" s="55"/>
      <c r="MS12" s="55"/>
      <c r="MT12" s="55"/>
      <c r="MU12" s="55"/>
      <c r="MV12" s="55"/>
      <c r="MW12" s="55"/>
      <c r="MX12" s="55"/>
      <c r="MY12" s="78" t="s">
        <v>36</v>
      </c>
      <c r="MZ12" s="59"/>
      <c r="NA12" s="55"/>
      <c r="NB12" s="55"/>
      <c r="NC12" s="55"/>
      <c r="ND12" s="59"/>
      <c r="NE12" s="59"/>
      <c r="NF12" s="55"/>
      <c r="NG12" s="55"/>
      <c r="NH12" s="59"/>
      <c r="NI12" s="55"/>
      <c r="NJ12" s="2"/>
      <c r="NK12" s="15" cm="1">
        <f t="array" aca="1" ref="NK12" ca="1">SUMPRODUCT((OFFSET($B12,0,31*($B$5-1)+1,1,31)&lt;&gt;"")*(IF(OFFSET($B12,0,31*($B$5-1)+1,1,31)=$NY$12,0.5,IF(OFFSET($B12,0,31*($B$5-1)+1,1,31)=$NY$13,0.5,1))*(OFFSET($B$6,0,31*($B$5-1)+1,1,31))))</f>
        <v>0.5</v>
      </c>
      <c r="NL12" s="19" cm="1">
        <f t="array" aca="1" ref="NL12" ca="1">SUMPRODUCT((OFFSET($B12,0,1,1,372)&lt;&gt;"")*(IF(OFFSET($B12,0,1,1,372)=$NY$12,0.5,IF(OFFSET($B12,0,1,1,372)=$NY$13,0.5,1))*(OFFSET($B$5,0,1,1,372))))</f>
        <v>0.5</v>
      </c>
      <c r="NM12" s="38">
        <f t="shared" ca="1" si="7"/>
        <v>0</v>
      </c>
      <c r="NN12" s="38">
        <f t="shared" ca="1" si="7"/>
        <v>0</v>
      </c>
      <c r="NO12" s="38">
        <f t="shared" ca="1" si="7"/>
        <v>0</v>
      </c>
      <c r="NP12" s="38">
        <f t="shared" ca="1" si="7"/>
        <v>1</v>
      </c>
      <c r="NQ12" s="38">
        <f t="shared" ca="1" si="7"/>
        <v>0</v>
      </c>
      <c r="NR12" s="38">
        <f t="shared" ca="1" si="7"/>
        <v>0</v>
      </c>
      <c r="NS12" s="38">
        <f t="shared" ca="1" si="8"/>
        <v>0</v>
      </c>
      <c r="NX12" s="39" t="s">
        <v>52</v>
      </c>
      <c r="NY12" s="40" t="s">
        <v>35</v>
      </c>
      <c r="NZ12" s="1">
        <v>0.5</v>
      </c>
    </row>
    <row r="13" spans="1:762" x14ac:dyDescent="0.35">
      <c r="A13" s="52"/>
      <c r="B13" s="30" t="s">
        <v>74</v>
      </c>
      <c r="C13" s="55"/>
      <c r="D13" s="59"/>
      <c r="E13" s="55"/>
      <c r="F13" s="59"/>
      <c r="G13" s="60"/>
      <c r="H13" s="55"/>
      <c r="I13" s="55"/>
      <c r="J13" s="55"/>
      <c r="K13" s="55"/>
      <c r="L13" s="55"/>
      <c r="M13" s="59"/>
      <c r="N13" s="55"/>
      <c r="O13" s="55"/>
      <c r="P13" s="55"/>
      <c r="Q13" s="55"/>
      <c r="R13" s="55"/>
      <c r="S13" s="55"/>
      <c r="T13" s="55"/>
      <c r="U13" s="55"/>
      <c r="V13" s="59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5"/>
      <c r="GA13" s="55"/>
      <c r="GB13" s="55"/>
      <c r="GC13" s="55"/>
      <c r="GD13" s="55"/>
      <c r="GE13" s="55"/>
      <c r="GF13" s="55"/>
      <c r="GG13" s="55"/>
      <c r="GH13" s="55"/>
      <c r="GI13" s="55"/>
      <c r="GJ13" s="55"/>
      <c r="GK13" s="55"/>
      <c r="GL13" s="55"/>
      <c r="GM13" s="55"/>
      <c r="GN13" s="55"/>
      <c r="GO13" s="55"/>
      <c r="GP13" s="55"/>
      <c r="GQ13" s="55"/>
      <c r="GR13" s="55"/>
      <c r="GS13" s="55"/>
      <c r="GT13" s="55"/>
      <c r="GU13" s="55"/>
      <c r="GV13" s="55"/>
      <c r="GW13" s="55"/>
      <c r="GX13" s="55"/>
      <c r="GY13" s="55"/>
      <c r="GZ13" s="55"/>
      <c r="HA13" s="55"/>
      <c r="HB13" s="55"/>
      <c r="HC13" s="55"/>
      <c r="HD13" s="55"/>
      <c r="HE13" s="55"/>
      <c r="HF13" s="55"/>
      <c r="HG13" s="55"/>
      <c r="HH13" s="55"/>
      <c r="HI13" s="55"/>
      <c r="HJ13" s="55"/>
      <c r="HK13" s="55"/>
      <c r="HL13" s="55"/>
      <c r="HM13" s="55"/>
      <c r="HN13" s="55"/>
      <c r="HO13" s="55"/>
      <c r="HP13" s="55"/>
      <c r="HQ13" s="55"/>
      <c r="HR13" s="55"/>
      <c r="HS13" s="55"/>
      <c r="HT13" s="55"/>
      <c r="HU13" s="55"/>
      <c r="HV13" s="55"/>
      <c r="HW13" s="55"/>
      <c r="HX13" s="55"/>
      <c r="HY13" s="55"/>
      <c r="HZ13" s="55"/>
      <c r="IA13" s="55"/>
      <c r="IB13" s="55"/>
      <c r="IC13" s="55"/>
      <c r="ID13" s="55"/>
      <c r="IE13" s="55"/>
      <c r="IF13" s="55"/>
      <c r="IG13" s="55"/>
      <c r="IH13" s="55"/>
      <c r="II13" s="55"/>
      <c r="IJ13" s="55"/>
      <c r="IK13" s="55"/>
      <c r="IL13" s="55"/>
      <c r="IM13" s="55"/>
      <c r="IN13" s="55"/>
      <c r="IO13" s="55"/>
      <c r="IP13" s="55"/>
      <c r="IQ13" s="55"/>
      <c r="IR13" s="55"/>
      <c r="IS13" s="55"/>
      <c r="IT13" s="55"/>
      <c r="IU13" s="55"/>
      <c r="IV13" s="55"/>
      <c r="IW13" s="55"/>
      <c r="IX13" s="55"/>
      <c r="IY13" s="55"/>
      <c r="IZ13" s="55"/>
      <c r="JA13" s="55"/>
      <c r="JB13" s="55"/>
      <c r="JC13" s="55"/>
      <c r="JD13" s="55"/>
      <c r="JE13" s="55"/>
      <c r="JF13" s="55"/>
      <c r="JG13" s="55"/>
      <c r="JH13" s="55"/>
      <c r="JI13" s="55"/>
      <c r="JJ13" s="55"/>
      <c r="JK13" s="55"/>
      <c r="JL13" s="55"/>
      <c r="JM13" s="55"/>
      <c r="JN13" s="55"/>
      <c r="JO13" s="55"/>
      <c r="JP13" s="55"/>
      <c r="JQ13" s="55"/>
      <c r="JR13" s="55"/>
      <c r="JS13" s="55"/>
      <c r="JT13" s="55"/>
      <c r="JU13" s="55"/>
      <c r="JV13" s="55"/>
      <c r="JW13" s="55"/>
      <c r="JX13" s="55"/>
      <c r="JY13" s="55"/>
      <c r="JZ13" s="55"/>
      <c r="KA13" s="55"/>
      <c r="KB13" s="55"/>
      <c r="KC13" s="55"/>
      <c r="KD13" s="55"/>
      <c r="KE13" s="55"/>
      <c r="KF13" s="55"/>
      <c r="KG13" s="55"/>
      <c r="KH13" s="55"/>
      <c r="KI13" s="55"/>
      <c r="KJ13" s="55"/>
      <c r="KK13" s="55"/>
      <c r="KL13" s="55"/>
      <c r="KM13" s="55"/>
      <c r="KN13" s="55"/>
      <c r="KO13" s="55"/>
      <c r="KP13" s="55"/>
      <c r="KQ13" s="55"/>
      <c r="KR13" s="55"/>
      <c r="KS13" s="55"/>
      <c r="KT13" s="55"/>
      <c r="KU13" s="55"/>
      <c r="KV13" s="55"/>
      <c r="KW13" s="55"/>
      <c r="KX13" s="55"/>
      <c r="KY13" s="55"/>
      <c r="KZ13" s="55"/>
      <c r="LA13" s="55"/>
      <c r="LB13" s="55"/>
      <c r="LC13" s="55"/>
      <c r="LD13" s="55"/>
      <c r="LE13" s="55"/>
      <c r="LF13" s="55"/>
      <c r="LG13" s="55"/>
      <c r="LH13" s="55"/>
      <c r="LI13" s="55"/>
      <c r="LJ13" s="55"/>
      <c r="LK13" s="55"/>
      <c r="LL13" s="55"/>
      <c r="LM13" s="55"/>
      <c r="LN13" s="55"/>
      <c r="LO13" s="55"/>
      <c r="LP13" s="55"/>
      <c r="LQ13" s="55"/>
      <c r="LR13" s="55"/>
      <c r="LS13" s="55"/>
      <c r="LT13" s="55"/>
      <c r="LU13" s="55"/>
      <c r="LV13" s="55"/>
      <c r="LW13" s="55"/>
      <c r="LX13" s="55"/>
      <c r="LY13" s="55"/>
      <c r="LZ13" s="55"/>
      <c r="MA13" s="55"/>
      <c r="MB13" s="55"/>
      <c r="MC13" s="55"/>
      <c r="MD13" s="55"/>
      <c r="ME13" s="59"/>
      <c r="MF13" s="59"/>
      <c r="MG13" s="59" t="s">
        <v>61</v>
      </c>
      <c r="MH13" s="55"/>
      <c r="MI13" s="55"/>
      <c r="MJ13" s="55"/>
      <c r="MK13" s="55"/>
      <c r="ML13" s="55"/>
      <c r="MM13" s="55"/>
      <c r="MN13" s="55"/>
      <c r="MO13" s="55"/>
      <c r="MP13" s="55"/>
      <c r="MQ13" s="55"/>
      <c r="MR13" s="55"/>
      <c r="MS13" s="55"/>
      <c r="MT13" s="55"/>
      <c r="MU13" s="55"/>
      <c r="MV13" s="55"/>
      <c r="MW13" s="55"/>
      <c r="MX13" s="78" t="s">
        <v>36</v>
      </c>
      <c r="MY13" s="78" t="s">
        <v>36</v>
      </c>
      <c r="MZ13" s="55"/>
      <c r="NA13" s="78" t="s">
        <v>35</v>
      </c>
      <c r="NB13" s="55"/>
      <c r="NC13" s="55"/>
      <c r="ND13" s="55"/>
      <c r="NE13" s="55"/>
      <c r="NF13" s="55"/>
      <c r="NG13" s="55"/>
      <c r="NH13" s="55"/>
      <c r="NI13" s="55"/>
      <c r="NJ13" s="2"/>
      <c r="NK13" s="15" cm="1">
        <f t="array" aca="1" ref="NK13" ca="1">SUMPRODUCT((OFFSET($B13,0,31*($B$5-1)+1,1,31)&lt;&gt;"")*(IF(OFFSET($B13,0,31*($B$5-1)+1,1,31)=$NY$12,0.5,IF(OFFSET($B13,0,31*($B$5-1)+1,1,31)=$NY$13,0.5,1))*(OFFSET($B$6,0,31*($B$5-1)+1,1,31))))</f>
        <v>1.5</v>
      </c>
      <c r="NL13" s="19" cm="1">
        <f t="array" aca="1" ref="NL13" ca="1">SUMPRODUCT((OFFSET($B13,0,1,1,372)&lt;&gt;"")*(IF(OFFSET($B13,0,1,1,372)=$NY$12,0.5,IF(OFFSET($B13,0,1,1,372)=$NY$13,0.5,1))*(OFFSET($B$5,0,1,1,372))))</f>
        <v>1.5</v>
      </c>
      <c r="NM13" s="38">
        <f t="shared" ca="1" si="7"/>
        <v>0</v>
      </c>
      <c r="NN13" s="38">
        <f t="shared" ca="1" si="7"/>
        <v>0</v>
      </c>
      <c r="NO13" s="38">
        <f t="shared" ca="1" si="7"/>
        <v>1</v>
      </c>
      <c r="NP13" s="38">
        <f t="shared" ca="1" si="7"/>
        <v>2</v>
      </c>
      <c r="NQ13" s="38">
        <f t="shared" ca="1" si="7"/>
        <v>0</v>
      </c>
      <c r="NR13" s="38">
        <f t="shared" ca="1" si="7"/>
        <v>0</v>
      </c>
      <c r="NS13" s="38">
        <f t="shared" ca="1" si="8"/>
        <v>0</v>
      </c>
      <c r="NX13" s="64" t="s">
        <v>53</v>
      </c>
      <c r="NY13" s="65" t="s">
        <v>36</v>
      </c>
      <c r="NZ13" s="1">
        <v>0.5</v>
      </c>
    </row>
    <row r="14" spans="1:762" x14ac:dyDescent="0.35">
      <c r="A14" s="52"/>
      <c r="B14" s="63" t="s">
        <v>64</v>
      </c>
      <c r="C14" s="36"/>
      <c r="D14" s="37"/>
      <c r="E14" s="37"/>
      <c r="F14" s="37"/>
      <c r="G14" s="37"/>
      <c r="H14" s="37"/>
      <c r="I14" s="2"/>
      <c r="J14" s="2"/>
      <c r="K14" s="37"/>
      <c r="L14" s="37"/>
      <c r="M14" s="37"/>
      <c r="N14" s="37"/>
      <c r="O14" s="37"/>
      <c r="P14" s="2"/>
      <c r="Q14" s="2"/>
      <c r="R14" s="37"/>
      <c r="S14" s="37"/>
      <c r="T14" s="37"/>
      <c r="U14" s="37"/>
      <c r="V14" s="37"/>
      <c r="W14" s="2"/>
      <c r="X14" s="2"/>
      <c r="Y14" s="37"/>
      <c r="Z14" s="37"/>
      <c r="AA14" s="37"/>
      <c r="AB14" s="37"/>
      <c r="AC14" s="37"/>
      <c r="AD14" s="2"/>
      <c r="AE14" s="2"/>
      <c r="AF14" s="37"/>
      <c r="AG14" s="37"/>
      <c r="AH14" s="37"/>
      <c r="AI14" s="37"/>
      <c r="AJ14" s="37"/>
      <c r="AK14" s="2"/>
      <c r="AL14" s="2"/>
      <c r="AM14" s="37"/>
      <c r="AN14" s="37"/>
      <c r="AO14" s="37"/>
      <c r="AP14" s="37"/>
      <c r="AQ14" s="37"/>
      <c r="AR14" s="2"/>
      <c r="AS14" s="2"/>
      <c r="AT14" s="37"/>
      <c r="AU14" s="37"/>
      <c r="AV14" s="37"/>
      <c r="AW14" s="37"/>
      <c r="AX14" s="37"/>
      <c r="AY14" s="2"/>
      <c r="AZ14" s="2"/>
      <c r="BA14" s="2"/>
      <c r="BB14" s="37"/>
      <c r="BC14" s="37"/>
      <c r="BD14" s="37"/>
      <c r="BE14" s="37"/>
      <c r="BF14" s="2"/>
      <c r="BG14" s="2"/>
      <c r="BH14" s="37"/>
      <c r="BI14" s="37"/>
      <c r="BJ14" s="37"/>
      <c r="BK14" s="37"/>
      <c r="BL14" s="37"/>
      <c r="BM14" s="37"/>
      <c r="BN14" s="37"/>
      <c r="BO14" s="37"/>
      <c r="BP14" s="2"/>
      <c r="BQ14" s="2"/>
      <c r="BR14" s="37"/>
      <c r="BS14" s="37"/>
      <c r="BT14" s="37"/>
      <c r="BU14" s="37"/>
      <c r="BV14" s="37"/>
      <c r="BW14" s="2"/>
      <c r="BX14" s="2"/>
      <c r="BY14" s="37"/>
      <c r="BZ14" s="37"/>
      <c r="CA14" s="37"/>
      <c r="CB14" s="37"/>
      <c r="CC14" s="37"/>
      <c r="CD14" s="2"/>
      <c r="CE14" s="2"/>
      <c r="CF14" s="37"/>
      <c r="CG14" s="37"/>
      <c r="CH14" s="37"/>
      <c r="CI14" s="37"/>
      <c r="CJ14" s="37"/>
      <c r="CK14" s="2"/>
      <c r="CL14" s="2"/>
      <c r="CM14" s="37"/>
      <c r="CN14" s="37"/>
      <c r="CO14" s="37"/>
      <c r="CP14" s="37"/>
      <c r="CQ14" s="37"/>
      <c r="CR14" s="2"/>
      <c r="CS14" s="2"/>
      <c r="CT14" s="37"/>
      <c r="CU14" s="37"/>
      <c r="CV14" s="37"/>
      <c r="CW14" s="37"/>
      <c r="CX14" s="37"/>
      <c r="CY14" s="2"/>
      <c r="CZ14" s="2"/>
      <c r="DA14" s="37"/>
      <c r="DB14" s="37"/>
      <c r="DC14" s="37"/>
      <c r="DD14" s="37"/>
      <c r="DE14" s="37"/>
      <c r="DF14" s="2"/>
      <c r="DG14" s="2"/>
      <c r="DH14" s="37"/>
      <c r="DI14" s="37"/>
      <c r="DJ14" s="37"/>
      <c r="DK14" s="37"/>
      <c r="DL14" s="37"/>
      <c r="DM14" s="2"/>
      <c r="DN14" s="2"/>
      <c r="DO14" s="37"/>
      <c r="DP14" s="37"/>
      <c r="DQ14" s="37"/>
      <c r="DR14" s="37"/>
      <c r="DS14" s="37"/>
      <c r="DT14" s="2"/>
      <c r="DU14" s="37"/>
      <c r="DV14" s="2"/>
      <c r="DW14" s="37"/>
      <c r="DX14" s="37"/>
      <c r="DY14" s="37"/>
      <c r="DZ14" s="37"/>
      <c r="EA14" s="37"/>
      <c r="EB14" s="2"/>
      <c r="EC14" s="2"/>
      <c r="ED14" s="37"/>
      <c r="EE14" s="37"/>
      <c r="EF14" s="37"/>
      <c r="EG14" s="37"/>
      <c r="EH14" s="37"/>
      <c r="EI14" s="2"/>
      <c r="EJ14" s="2"/>
      <c r="EK14" s="37"/>
      <c r="EL14" s="37"/>
      <c r="EM14" s="37"/>
      <c r="EN14" s="37"/>
      <c r="EO14" s="37"/>
      <c r="EP14" s="2"/>
      <c r="EQ14" s="2"/>
      <c r="ER14" s="37"/>
      <c r="ES14" s="37"/>
      <c r="ET14" s="37"/>
      <c r="EU14" s="37"/>
      <c r="EV14" s="37"/>
      <c r="EW14" s="2"/>
      <c r="EX14" s="2"/>
      <c r="EY14" s="37"/>
      <c r="EZ14" s="37"/>
      <c r="FA14" s="37"/>
      <c r="FB14" s="37"/>
      <c r="FC14" s="37"/>
      <c r="FD14" s="2"/>
      <c r="FE14" s="2"/>
      <c r="FF14" s="37"/>
      <c r="FG14" s="37"/>
      <c r="FH14" s="37"/>
      <c r="FI14" s="37"/>
      <c r="FJ14" s="37"/>
      <c r="FK14" s="2"/>
      <c r="FL14" s="2"/>
      <c r="FM14" s="37"/>
      <c r="FN14" s="37"/>
      <c r="FO14" s="37"/>
      <c r="FP14" s="37"/>
      <c r="FQ14" s="37"/>
      <c r="FR14" s="2"/>
      <c r="FS14" s="2"/>
      <c r="FT14" s="37"/>
      <c r="FU14" s="37"/>
      <c r="FV14" s="37"/>
      <c r="FW14" s="37"/>
      <c r="FX14" s="37"/>
      <c r="FY14" s="2"/>
      <c r="FZ14" s="2"/>
      <c r="GA14" s="37"/>
      <c r="GB14" s="37"/>
      <c r="GC14" s="37"/>
      <c r="GD14" s="37"/>
      <c r="GE14" s="37"/>
      <c r="GF14" s="2"/>
      <c r="GG14" s="2"/>
      <c r="GH14" s="2"/>
      <c r="GI14" s="37"/>
      <c r="GJ14" s="37"/>
      <c r="GK14" s="37"/>
      <c r="GL14" s="37"/>
      <c r="GM14" s="37"/>
      <c r="GN14" s="2"/>
      <c r="GO14" s="2"/>
      <c r="GP14" s="37"/>
      <c r="GQ14" s="37"/>
      <c r="GR14" s="37"/>
      <c r="GS14" s="37"/>
      <c r="GT14" s="37"/>
      <c r="GU14" s="2"/>
      <c r="GV14" s="2"/>
      <c r="GW14" s="37"/>
      <c r="GX14" s="37"/>
      <c r="GY14" s="37"/>
      <c r="GZ14" s="37"/>
      <c r="HA14" s="37"/>
      <c r="HB14" s="2"/>
      <c r="HC14" s="2"/>
      <c r="HD14" s="37"/>
      <c r="HE14" s="37"/>
      <c r="HF14" s="37"/>
      <c r="HG14" s="37"/>
      <c r="HH14" s="37"/>
      <c r="HI14" s="2"/>
      <c r="HJ14" s="2"/>
      <c r="HK14" s="2"/>
      <c r="HL14" s="37"/>
      <c r="HM14" s="37"/>
      <c r="HN14" s="37"/>
      <c r="HO14" s="37"/>
      <c r="HP14" s="2"/>
      <c r="HQ14" s="2"/>
      <c r="HR14" s="37"/>
      <c r="HS14" s="37"/>
      <c r="HT14" s="37"/>
      <c r="HU14" s="37"/>
      <c r="HV14" s="37"/>
      <c r="HW14" s="2"/>
      <c r="HX14" s="2"/>
      <c r="HY14" s="37"/>
      <c r="HZ14" s="37"/>
      <c r="IA14" s="37"/>
      <c r="IB14" s="37"/>
      <c r="IC14" s="37"/>
      <c r="ID14" s="2"/>
      <c r="IE14" s="2"/>
      <c r="IF14" s="37"/>
      <c r="IG14" s="37"/>
      <c r="IH14" s="37"/>
      <c r="II14" s="37"/>
      <c r="IJ14" s="37"/>
      <c r="IK14" s="2"/>
      <c r="IL14" s="2"/>
      <c r="IM14" s="37"/>
      <c r="IN14" s="37"/>
      <c r="IO14" s="37"/>
      <c r="IP14" s="37"/>
      <c r="IQ14" s="37"/>
      <c r="IR14" s="2"/>
      <c r="IS14" s="2"/>
      <c r="IT14" s="2"/>
      <c r="IU14" s="37"/>
      <c r="IV14" s="37"/>
      <c r="IW14" s="37"/>
      <c r="IX14" s="37"/>
      <c r="IY14" s="2"/>
      <c r="IZ14" s="2"/>
      <c r="JA14" s="37"/>
      <c r="JB14" s="37"/>
      <c r="JC14" s="37"/>
      <c r="JD14" s="37"/>
      <c r="JE14" s="37"/>
      <c r="JF14" s="2"/>
      <c r="JG14" s="2"/>
      <c r="JH14" s="37"/>
      <c r="JI14" s="37"/>
      <c r="JJ14" s="37"/>
      <c r="JK14" s="37"/>
      <c r="JL14" s="37"/>
      <c r="JM14" s="2"/>
      <c r="JN14" s="2"/>
      <c r="JO14" s="37"/>
      <c r="JP14" s="37"/>
      <c r="JQ14" s="37"/>
      <c r="JR14" s="37"/>
      <c r="JS14" s="2"/>
      <c r="JT14" s="37"/>
      <c r="JU14" s="2"/>
      <c r="JV14" s="2"/>
      <c r="JW14" s="37"/>
      <c r="JX14" s="37"/>
      <c r="JY14" s="37"/>
      <c r="JZ14" s="37"/>
      <c r="KA14" s="37"/>
      <c r="KB14" s="2"/>
      <c r="KC14" s="2"/>
      <c r="KD14" s="2"/>
      <c r="KE14" s="37"/>
      <c r="KF14" s="37"/>
      <c r="KG14" s="37"/>
      <c r="KH14" s="37"/>
      <c r="KI14" s="2"/>
      <c r="KJ14" s="2"/>
      <c r="KK14" s="37"/>
      <c r="KL14" s="37"/>
      <c r="KM14" s="37"/>
      <c r="KN14" s="37"/>
      <c r="KO14" s="37"/>
      <c r="KP14" s="2"/>
      <c r="KQ14" s="2"/>
      <c r="KR14" s="37"/>
      <c r="KS14" s="37"/>
      <c r="KT14" s="37"/>
      <c r="KU14" s="37"/>
      <c r="KV14" s="37"/>
      <c r="KW14" s="2"/>
      <c r="KX14" s="2"/>
      <c r="KY14" s="37"/>
      <c r="KZ14" s="37"/>
      <c r="LA14" s="37"/>
      <c r="LB14" s="37"/>
      <c r="LC14" s="37"/>
      <c r="LD14" s="2"/>
      <c r="LE14" s="2"/>
      <c r="LF14" s="37"/>
      <c r="LG14" s="37"/>
      <c r="LH14" s="37"/>
      <c r="LI14" s="37"/>
      <c r="LJ14" s="2"/>
      <c r="LK14" s="2"/>
      <c r="LL14" s="2"/>
      <c r="LM14" s="37"/>
      <c r="LN14" s="37"/>
      <c r="LO14" s="37"/>
      <c r="LP14" s="37"/>
      <c r="LQ14" s="37"/>
      <c r="LR14" s="2"/>
      <c r="LS14" s="2"/>
      <c r="LT14" s="37"/>
      <c r="LU14" s="37"/>
      <c r="LV14" s="37"/>
      <c r="LW14" s="37"/>
      <c r="LX14" s="37"/>
      <c r="LY14" s="2"/>
      <c r="LZ14" s="2"/>
      <c r="MA14" s="37"/>
      <c r="MB14" s="37"/>
      <c r="MC14" s="37"/>
      <c r="MD14" s="37"/>
      <c r="ME14" s="37"/>
      <c r="MF14" s="37"/>
      <c r="MG14" s="2"/>
      <c r="MH14" s="2"/>
      <c r="MI14" s="37"/>
      <c r="MJ14" s="37"/>
      <c r="MK14" s="37"/>
      <c r="ML14" s="37"/>
      <c r="MM14" s="37"/>
      <c r="MN14" s="2"/>
      <c r="MO14" s="2"/>
      <c r="MP14" s="37"/>
      <c r="MQ14" s="37"/>
      <c r="MR14" s="37"/>
      <c r="MS14" s="37"/>
      <c r="MT14" s="37"/>
      <c r="MU14" s="2"/>
      <c r="MV14" s="2"/>
      <c r="MW14" s="37"/>
      <c r="MX14" s="37"/>
      <c r="MY14" s="37"/>
      <c r="MZ14" s="37"/>
      <c r="NA14" s="37"/>
      <c r="NB14" s="2"/>
      <c r="NC14" s="2"/>
      <c r="ND14" s="2"/>
      <c r="NE14" s="37"/>
      <c r="NF14" s="37"/>
      <c r="NG14" s="37"/>
      <c r="NH14" s="37"/>
      <c r="NI14" s="2"/>
      <c r="NJ14" s="2"/>
      <c r="NK14" s="15" cm="1">
        <f t="array" aca="1" ref="NK14" ca="1">SUMPRODUCT((OFFSET($B14,0,31*($B$5-1)+1,1,31)&lt;&gt;"")*(IF(OFFSET($B14,0,31*($B$5-1)+1,1,31)=$NY$12,0.5,IF(OFFSET($B14,0,31*($B$5-1)+1,1,31)=$NY$13,0.5,1))*(OFFSET($B$6,0,31*($B$5-1)+1,1,31))))</f>
        <v>0</v>
      </c>
      <c r="NL14" s="19" cm="1">
        <f t="array" aca="1" ref="NL14" ca="1">SUMPRODUCT((OFFSET($B14,0,1,1,372)&lt;&gt;"")*(IF(OFFSET($B14,0,1,1,372)=$NY$12,0.5,IF(OFFSET($B14,0,1,1,372)=$NY$13,0.5,1))*(OFFSET($B$5,0,1,1,372))))</f>
        <v>0</v>
      </c>
      <c r="NM14" s="38">
        <f t="shared" ref="NM14:NR14" ca="1" si="9">SUMPRODUCT((OFFSET($B14,0,1,1,372)&lt;&gt;"")*(OFFSET($B$5,0,1,1,372))*((OFFSET($B14,0,1,1,372))=NM$7))</f>
        <v>0</v>
      </c>
      <c r="NN14" s="38">
        <f t="shared" ca="1" si="9"/>
        <v>0</v>
      </c>
      <c r="NO14" s="38">
        <f t="shared" ca="1" si="9"/>
        <v>0</v>
      </c>
      <c r="NP14" s="38">
        <f t="shared" ca="1" si="9"/>
        <v>0</v>
      </c>
      <c r="NQ14" s="38">
        <f t="shared" ca="1" si="9"/>
        <v>0</v>
      </c>
      <c r="NR14" s="38">
        <f t="shared" ca="1" si="9"/>
        <v>0</v>
      </c>
      <c r="NS14" s="38">
        <f t="shared" ca="1" si="8"/>
        <v>0</v>
      </c>
      <c r="NX14" s="47" t="s">
        <v>54</v>
      </c>
      <c r="NY14" s="70" t="s">
        <v>58</v>
      </c>
      <c r="NZ14" s="1">
        <v>1</v>
      </c>
    </row>
    <row r="15" spans="1:762" x14ac:dyDescent="0.35">
      <c r="A15" s="52"/>
      <c r="B15" s="53" t="s">
        <v>76</v>
      </c>
      <c r="C15" s="55"/>
      <c r="D15" s="55"/>
      <c r="E15" s="61"/>
      <c r="F15" s="55"/>
      <c r="G15" s="59"/>
      <c r="H15" s="61"/>
      <c r="I15" s="55"/>
      <c r="J15" s="55"/>
      <c r="K15" s="59"/>
      <c r="L15" s="55"/>
      <c r="M15" s="55"/>
      <c r="N15" s="59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5"/>
      <c r="GA15" s="55"/>
      <c r="GB15" s="55"/>
      <c r="GC15" s="55"/>
      <c r="GD15" s="55"/>
      <c r="GE15" s="55"/>
      <c r="GF15" s="55"/>
      <c r="GG15" s="55"/>
      <c r="GH15" s="55"/>
      <c r="GI15" s="55"/>
      <c r="GJ15" s="55"/>
      <c r="GK15" s="55"/>
      <c r="GL15" s="55"/>
      <c r="GM15" s="55"/>
      <c r="GN15" s="55"/>
      <c r="GO15" s="55"/>
      <c r="GP15" s="55"/>
      <c r="GQ15" s="55"/>
      <c r="GR15" s="55"/>
      <c r="GS15" s="55"/>
      <c r="GT15" s="55"/>
      <c r="GU15" s="55"/>
      <c r="GV15" s="55"/>
      <c r="GW15" s="55"/>
      <c r="GX15" s="55"/>
      <c r="GY15" s="55"/>
      <c r="GZ15" s="55"/>
      <c r="HA15" s="55"/>
      <c r="HB15" s="55"/>
      <c r="HC15" s="55"/>
      <c r="HD15" s="55"/>
      <c r="HE15" s="55"/>
      <c r="HF15" s="55"/>
      <c r="HG15" s="55"/>
      <c r="HH15" s="55"/>
      <c r="HI15" s="55"/>
      <c r="HJ15" s="55"/>
      <c r="HK15" s="55"/>
      <c r="HL15" s="55"/>
      <c r="HM15" s="55"/>
      <c r="HN15" s="55"/>
      <c r="HO15" s="55"/>
      <c r="HP15" s="55"/>
      <c r="HQ15" s="55"/>
      <c r="HR15" s="55"/>
      <c r="HS15" s="55"/>
      <c r="HT15" s="55"/>
      <c r="HU15" s="55"/>
      <c r="HV15" s="55"/>
      <c r="HW15" s="55"/>
      <c r="HX15" s="55"/>
      <c r="HY15" s="55"/>
      <c r="HZ15" s="55"/>
      <c r="IA15" s="55"/>
      <c r="IB15" s="55"/>
      <c r="IC15" s="55"/>
      <c r="ID15" s="55"/>
      <c r="IE15" s="55"/>
      <c r="IF15" s="55"/>
      <c r="IG15" s="55"/>
      <c r="IH15" s="55"/>
      <c r="II15" s="55"/>
      <c r="IJ15" s="55"/>
      <c r="IK15" s="55"/>
      <c r="IL15" s="55"/>
      <c r="IM15" s="55"/>
      <c r="IN15" s="55"/>
      <c r="IO15" s="55"/>
      <c r="IP15" s="55"/>
      <c r="IQ15" s="55"/>
      <c r="IR15" s="55"/>
      <c r="IS15" s="55"/>
      <c r="IT15" s="55"/>
      <c r="IU15" s="55"/>
      <c r="IV15" s="55"/>
      <c r="IW15" s="55"/>
      <c r="IX15" s="55"/>
      <c r="IY15" s="55"/>
      <c r="IZ15" s="55"/>
      <c r="JA15" s="55"/>
      <c r="JB15" s="55"/>
      <c r="JC15" s="55"/>
      <c r="JD15" s="55"/>
      <c r="JE15" s="55"/>
      <c r="JF15" s="55"/>
      <c r="JG15" s="55"/>
      <c r="JH15" s="55"/>
      <c r="JI15" s="55"/>
      <c r="JJ15" s="55"/>
      <c r="JK15" s="55"/>
      <c r="JL15" s="55"/>
      <c r="JM15" s="55"/>
      <c r="JN15" s="55"/>
      <c r="JO15" s="55"/>
      <c r="JP15" s="55"/>
      <c r="JQ15" s="55"/>
      <c r="JR15" s="55"/>
      <c r="JS15" s="55"/>
      <c r="JT15" s="55"/>
      <c r="JU15" s="55"/>
      <c r="JV15" s="55"/>
      <c r="JW15" s="55"/>
      <c r="JX15" s="55"/>
      <c r="JY15" s="55"/>
      <c r="JZ15" s="55"/>
      <c r="KA15" s="55"/>
      <c r="KB15" s="55"/>
      <c r="KC15" s="55"/>
      <c r="KD15" s="55"/>
      <c r="KE15" s="55"/>
      <c r="KF15" s="55"/>
      <c r="KG15" s="55"/>
      <c r="KH15" s="55"/>
      <c r="KI15" s="55"/>
      <c r="KJ15" s="55"/>
      <c r="KK15" s="55"/>
      <c r="KL15" s="55"/>
      <c r="KM15" s="55"/>
      <c r="KN15" s="55"/>
      <c r="KO15" s="55"/>
      <c r="KP15" s="55"/>
      <c r="KQ15" s="55"/>
      <c r="KR15" s="55"/>
      <c r="KS15" s="55"/>
      <c r="KT15" s="55"/>
      <c r="KU15" s="55"/>
      <c r="KV15" s="55"/>
      <c r="KW15" s="55"/>
      <c r="KX15" s="55"/>
      <c r="KY15" s="55"/>
      <c r="KZ15" s="55"/>
      <c r="LA15" s="55"/>
      <c r="LB15" s="55"/>
      <c r="LC15" s="55"/>
      <c r="LD15" s="55"/>
      <c r="LE15" s="55"/>
      <c r="LF15" s="55"/>
      <c r="LG15" s="55"/>
      <c r="LH15" s="55"/>
      <c r="LI15" s="55"/>
      <c r="LJ15" s="55"/>
      <c r="LK15" s="55"/>
      <c r="LL15" s="55"/>
      <c r="LM15" s="55"/>
      <c r="LN15" s="55"/>
      <c r="LO15" s="55"/>
      <c r="LP15" s="55"/>
      <c r="LQ15" s="55"/>
      <c r="LR15" s="55"/>
      <c r="LS15" s="55"/>
      <c r="LT15" s="55"/>
      <c r="LU15" s="55"/>
      <c r="LV15" s="55"/>
      <c r="LW15" s="55"/>
      <c r="LX15" s="55"/>
      <c r="LY15" s="55"/>
      <c r="LZ15" s="55"/>
      <c r="MA15" s="55"/>
      <c r="MB15" s="55"/>
      <c r="MC15" s="55"/>
      <c r="MD15" s="55"/>
      <c r="ME15" s="55"/>
      <c r="MF15" s="55"/>
      <c r="MG15" s="55"/>
      <c r="MH15" s="55"/>
      <c r="MI15" s="55"/>
      <c r="MJ15" s="55"/>
      <c r="MK15" s="55"/>
      <c r="ML15" s="55"/>
      <c r="MM15" s="55"/>
      <c r="MN15" s="55"/>
      <c r="MO15" s="55"/>
      <c r="MP15" s="55"/>
      <c r="MQ15" s="55"/>
      <c r="MR15" s="55"/>
      <c r="MS15" s="55"/>
      <c r="MT15" s="55"/>
      <c r="MU15" s="55"/>
      <c r="MV15" s="55"/>
      <c r="MW15" s="55"/>
      <c r="MX15" s="55"/>
      <c r="MY15" s="77" t="s">
        <v>51</v>
      </c>
      <c r="MZ15" s="55"/>
      <c r="NA15" s="55"/>
      <c r="NB15" s="55"/>
      <c r="NC15" s="55"/>
      <c r="ND15" s="55"/>
      <c r="NE15" s="55"/>
      <c r="NF15" s="55"/>
      <c r="NG15" s="55"/>
      <c r="NH15" s="55"/>
      <c r="NI15" s="55"/>
      <c r="NJ15" s="2"/>
      <c r="NK15" s="15" cm="1">
        <f t="array" aca="1" ref="NK15" ca="1">SUMPRODUCT((OFFSET($B15,0,31*($B$5-1)+1,1,31)&lt;&gt;"")*(IF(OFFSET($B15,0,31*($B$5-1)+1,1,31)=$NY$12,0.5,IF(OFFSET($B15,0,31*($B$5-1)+1,1,31)=$NY$13,0.5,1))*(OFFSET($B$6,0,31*($B$5-1)+1,1,31))))</f>
        <v>1</v>
      </c>
      <c r="NL15" s="19" cm="1">
        <f t="array" aca="1" ref="NL15" ca="1">SUMPRODUCT((OFFSET($B15,0,1,1,372)&lt;&gt;"")*(IF(OFFSET($B15,0,1,1,372)=$NY$12,0.5,IF(OFFSET($B15,0,1,1,372)=$NY$13,0.5,1))*(OFFSET($B$5,0,1,1,372))))</f>
        <v>1</v>
      </c>
      <c r="NM15" s="38">
        <f t="shared" ca="1" si="7"/>
        <v>0</v>
      </c>
      <c r="NN15" s="38">
        <f t="shared" ca="1" si="7"/>
        <v>1</v>
      </c>
      <c r="NO15" s="38">
        <f t="shared" ca="1" si="7"/>
        <v>0</v>
      </c>
      <c r="NP15" s="38">
        <f t="shared" ca="1" si="7"/>
        <v>0</v>
      </c>
      <c r="NQ15" s="38">
        <f t="shared" ca="1" si="7"/>
        <v>0</v>
      </c>
      <c r="NR15" s="38">
        <f t="shared" ca="1" si="7"/>
        <v>0</v>
      </c>
      <c r="NS15" s="38">
        <f t="shared" ca="1" si="8"/>
        <v>0</v>
      </c>
      <c r="NX15" s="41" t="s">
        <v>55</v>
      </c>
      <c r="NY15" s="42" t="s">
        <v>27</v>
      </c>
      <c r="NZ15" s="1">
        <v>1</v>
      </c>
    </row>
    <row r="16" spans="1:762" x14ac:dyDescent="0.35">
      <c r="A16" s="52"/>
      <c r="B16" s="30" t="s">
        <v>74</v>
      </c>
      <c r="C16" s="55"/>
      <c r="D16" s="59"/>
      <c r="E16" s="61"/>
      <c r="F16" s="59"/>
      <c r="G16" s="55"/>
      <c r="H16" s="59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9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55"/>
      <c r="CO16" s="55"/>
      <c r="CP16" s="55"/>
      <c r="CQ16" s="55"/>
      <c r="CR16" s="55"/>
      <c r="CS16" s="55"/>
      <c r="CT16" s="55"/>
      <c r="CU16" s="55"/>
      <c r="CV16" s="55"/>
      <c r="CW16" s="55"/>
      <c r="CX16" s="55"/>
      <c r="CY16" s="55"/>
      <c r="CZ16" s="55"/>
      <c r="DA16" s="55"/>
      <c r="DB16" s="55"/>
      <c r="DC16" s="55"/>
      <c r="DD16" s="55"/>
      <c r="DE16" s="55"/>
      <c r="DF16" s="55"/>
      <c r="DG16" s="55"/>
      <c r="DH16" s="55"/>
      <c r="DI16" s="55"/>
      <c r="DJ16" s="55"/>
      <c r="DK16" s="55"/>
      <c r="DL16" s="55"/>
      <c r="DM16" s="55"/>
      <c r="DN16" s="55"/>
      <c r="DO16" s="55"/>
      <c r="DP16" s="55"/>
      <c r="DQ16" s="55"/>
      <c r="DR16" s="55"/>
      <c r="DS16" s="55"/>
      <c r="DT16" s="55"/>
      <c r="DU16" s="55"/>
      <c r="DV16" s="55"/>
      <c r="DW16" s="55"/>
      <c r="DX16" s="55"/>
      <c r="DY16" s="55"/>
      <c r="DZ16" s="55"/>
      <c r="EA16" s="55"/>
      <c r="EB16" s="55"/>
      <c r="EC16" s="55"/>
      <c r="ED16" s="55"/>
      <c r="EE16" s="55"/>
      <c r="EF16" s="55"/>
      <c r="EG16" s="55"/>
      <c r="EH16" s="55"/>
      <c r="EI16" s="55"/>
      <c r="EJ16" s="55"/>
      <c r="EK16" s="55"/>
      <c r="EL16" s="55"/>
      <c r="EM16" s="55"/>
      <c r="EN16" s="55"/>
      <c r="EO16" s="55"/>
      <c r="EP16" s="55"/>
      <c r="EQ16" s="55"/>
      <c r="ER16" s="55"/>
      <c r="ES16" s="55"/>
      <c r="ET16" s="55"/>
      <c r="EU16" s="55"/>
      <c r="EV16" s="55"/>
      <c r="EW16" s="55"/>
      <c r="EX16" s="55"/>
      <c r="EY16" s="55"/>
      <c r="EZ16" s="55"/>
      <c r="FA16" s="55"/>
      <c r="FB16" s="55"/>
      <c r="FC16" s="55"/>
      <c r="FD16" s="55"/>
      <c r="FE16" s="55"/>
      <c r="FF16" s="55"/>
      <c r="FG16" s="55"/>
      <c r="FH16" s="55"/>
      <c r="FI16" s="55"/>
      <c r="FJ16" s="55"/>
      <c r="FK16" s="55"/>
      <c r="FL16" s="55"/>
      <c r="FM16" s="55"/>
      <c r="FN16" s="55"/>
      <c r="FO16" s="55"/>
      <c r="FP16" s="55"/>
      <c r="FQ16" s="55"/>
      <c r="FR16" s="55"/>
      <c r="FS16" s="55"/>
      <c r="FT16" s="55"/>
      <c r="FU16" s="55"/>
      <c r="FV16" s="55"/>
      <c r="FW16" s="55"/>
      <c r="FX16" s="55"/>
      <c r="FY16" s="55"/>
      <c r="FZ16" s="55"/>
      <c r="GA16" s="55"/>
      <c r="GB16" s="55"/>
      <c r="GC16" s="55"/>
      <c r="GD16" s="55"/>
      <c r="GE16" s="55"/>
      <c r="GF16" s="55"/>
      <c r="GG16" s="55"/>
      <c r="GH16" s="55"/>
      <c r="GI16" s="55"/>
      <c r="GJ16" s="55"/>
      <c r="GK16" s="55"/>
      <c r="GL16" s="55"/>
      <c r="GM16" s="55"/>
      <c r="GN16" s="55"/>
      <c r="GO16" s="55"/>
      <c r="GP16" s="55"/>
      <c r="GQ16" s="55"/>
      <c r="GR16" s="55"/>
      <c r="GS16" s="55"/>
      <c r="GT16" s="55"/>
      <c r="GU16" s="55"/>
      <c r="GV16" s="55"/>
      <c r="GW16" s="55"/>
      <c r="GX16" s="55"/>
      <c r="GY16" s="55"/>
      <c r="GZ16" s="55"/>
      <c r="HA16" s="55"/>
      <c r="HB16" s="55"/>
      <c r="HC16" s="55"/>
      <c r="HD16" s="55"/>
      <c r="HE16" s="55"/>
      <c r="HF16" s="55"/>
      <c r="HG16" s="55"/>
      <c r="HH16" s="55"/>
      <c r="HI16" s="55"/>
      <c r="HJ16" s="55"/>
      <c r="HK16" s="55"/>
      <c r="HL16" s="55"/>
      <c r="HM16" s="55"/>
      <c r="HN16" s="55"/>
      <c r="HO16" s="55"/>
      <c r="HP16" s="55"/>
      <c r="HQ16" s="55"/>
      <c r="HR16" s="55"/>
      <c r="HS16" s="55"/>
      <c r="HT16" s="55"/>
      <c r="HU16" s="55"/>
      <c r="HV16" s="55"/>
      <c r="HW16" s="55"/>
      <c r="HX16" s="55"/>
      <c r="HY16" s="55"/>
      <c r="HZ16" s="55"/>
      <c r="IA16" s="55"/>
      <c r="IB16" s="55"/>
      <c r="IC16" s="55"/>
      <c r="ID16" s="55"/>
      <c r="IE16" s="55"/>
      <c r="IF16" s="55"/>
      <c r="IG16" s="55"/>
      <c r="IH16" s="55"/>
      <c r="II16" s="55"/>
      <c r="IJ16" s="55"/>
      <c r="IK16" s="55"/>
      <c r="IL16" s="55"/>
      <c r="IM16" s="55"/>
      <c r="IN16" s="55"/>
      <c r="IO16" s="55"/>
      <c r="IP16" s="55"/>
      <c r="IQ16" s="55"/>
      <c r="IR16" s="55"/>
      <c r="IS16" s="55"/>
      <c r="IT16" s="55"/>
      <c r="IU16" s="55"/>
      <c r="IV16" s="55"/>
      <c r="IW16" s="55"/>
      <c r="IX16" s="55"/>
      <c r="IY16" s="55"/>
      <c r="IZ16" s="55"/>
      <c r="JA16" s="55"/>
      <c r="JB16" s="55"/>
      <c r="JC16" s="55"/>
      <c r="JD16" s="55"/>
      <c r="JE16" s="55"/>
      <c r="JF16" s="55"/>
      <c r="JG16" s="55"/>
      <c r="JH16" s="55"/>
      <c r="JI16" s="55"/>
      <c r="JJ16" s="55"/>
      <c r="JK16" s="55"/>
      <c r="JL16" s="55"/>
      <c r="JM16" s="55"/>
      <c r="JN16" s="55"/>
      <c r="JO16" s="55"/>
      <c r="JP16" s="55"/>
      <c r="JQ16" s="55"/>
      <c r="JR16" s="55"/>
      <c r="JS16" s="55"/>
      <c r="JT16" s="55"/>
      <c r="JU16" s="55"/>
      <c r="JV16" s="55"/>
      <c r="JW16" s="55"/>
      <c r="JX16" s="55"/>
      <c r="JY16" s="55"/>
      <c r="JZ16" s="55"/>
      <c r="KA16" s="55"/>
      <c r="KB16" s="55"/>
      <c r="KC16" s="55"/>
      <c r="KD16" s="55"/>
      <c r="KE16" s="55"/>
      <c r="KF16" s="55"/>
      <c r="KG16" s="55"/>
      <c r="KH16" s="55"/>
      <c r="KI16" s="55"/>
      <c r="KJ16" s="55"/>
      <c r="KK16" s="55"/>
      <c r="KL16" s="55"/>
      <c r="KM16" s="55"/>
      <c r="KN16" s="55"/>
      <c r="KO16" s="55"/>
      <c r="KP16" s="55"/>
      <c r="KQ16" s="55"/>
      <c r="KR16" s="55"/>
      <c r="KS16" s="55"/>
      <c r="KT16" s="55"/>
      <c r="KU16" s="55"/>
      <c r="KV16" s="55"/>
      <c r="KW16" s="55"/>
      <c r="KX16" s="55"/>
      <c r="KY16" s="55"/>
      <c r="KZ16" s="55"/>
      <c r="LA16" s="55"/>
      <c r="LB16" s="55"/>
      <c r="LC16" s="55"/>
      <c r="LD16" s="55"/>
      <c r="LE16" s="55"/>
      <c r="LF16" s="55"/>
      <c r="LG16" s="55"/>
      <c r="LH16" s="55"/>
      <c r="LI16" s="55"/>
      <c r="LJ16" s="55"/>
      <c r="LK16" s="55"/>
      <c r="LL16" s="55"/>
      <c r="LM16" s="55"/>
      <c r="LN16" s="55"/>
      <c r="LO16" s="55"/>
      <c r="LP16" s="55"/>
      <c r="LQ16" s="55"/>
      <c r="LR16" s="55"/>
      <c r="LS16" s="55"/>
      <c r="LT16" s="55"/>
      <c r="LU16" s="55"/>
      <c r="LV16" s="55"/>
      <c r="LW16" s="55"/>
      <c r="LX16" s="55"/>
      <c r="LY16" s="55"/>
      <c r="LZ16" s="55"/>
      <c r="MA16" s="55"/>
      <c r="MB16" s="55"/>
      <c r="MC16" s="55"/>
      <c r="MD16" s="55"/>
      <c r="ME16" s="77" t="s">
        <v>51</v>
      </c>
      <c r="MF16" s="59"/>
      <c r="MG16" s="55"/>
      <c r="MH16" s="55"/>
      <c r="MI16" s="55"/>
      <c r="MJ16" s="55"/>
      <c r="MK16" s="55"/>
      <c r="ML16" s="55"/>
      <c r="MM16" s="55"/>
      <c r="MN16" s="55"/>
      <c r="MO16" s="55"/>
      <c r="MP16" s="55"/>
      <c r="MQ16" s="55"/>
      <c r="MR16" s="55"/>
      <c r="MS16" s="55"/>
      <c r="MT16" s="55"/>
      <c r="MU16" s="55"/>
      <c r="MV16" s="55"/>
      <c r="MW16" s="55"/>
      <c r="MX16" s="55"/>
      <c r="MY16" s="55"/>
      <c r="MZ16" s="55"/>
      <c r="NA16" s="55"/>
      <c r="NB16" s="55"/>
      <c r="NC16" s="55"/>
      <c r="ND16" s="55"/>
      <c r="NE16" s="55"/>
      <c r="NF16" s="55"/>
      <c r="NG16" s="55"/>
      <c r="NH16" s="55"/>
      <c r="NI16" s="55"/>
      <c r="NJ16" s="2"/>
      <c r="NK16" s="15" cm="1">
        <f t="array" aca="1" ref="NK16" ca="1">SUMPRODUCT((OFFSET($B16,0,31*($B$5-1)+1,1,31)&lt;&gt;"")*(IF(OFFSET($B16,0,31*($B$5-1)+1,1,31)=$NY$12,0.5,IF(OFFSET($B16,0,31*($B$5-1)+1,1,31)=$NY$13,0.5,1))*(OFFSET($B$6,0,31*($B$5-1)+1,1,31))))</f>
        <v>0</v>
      </c>
      <c r="NL16" s="19" cm="1">
        <f t="array" aca="1" ref="NL16" ca="1">SUMPRODUCT((OFFSET($B16,0,1,1,372)&lt;&gt;"")*(IF(OFFSET($B16,0,1,1,372)=$NY$12,0.5,IF(OFFSET($B16,0,1,1,372)=$NY$13,0.5,1))*(OFFSET($B$5,0,1,1,372))))</f>
        <v>1</v>
      </c>
      <c r="NM16" s="38">
        <f t="shared" ca="1" si="7"/>
        <v>0</v>
      </c>
      <c r="NN16" s="38">
        <f t="shared" ca="1" si="7"/>
        <v>1</v>
      </c>
      <c r="NO16" s="38">
        <f t="shared" ca="1" si="7"/>
        <v>0</v>
      </c>
      <c r="NP16" s="38">
        <f t="shared" ca="1" si="7"/>
        <v>0</v>
      </c>
      <c r="NQ16" s="38">
        <f t="shared" ca="1" si="7"/>
        <v>0</v>
      </c>
      <c r="NR16" s="38">
        <f t="shared" ca="1" si="7"/>
        <v>0</v>
      </c>
      <c r="NS16" s="38">
        <f t="shared" ca="1" si="8"/>
        <v>0</v>
      </c>
      <c r="NX16" s="41" t="s">
        <v>56</v>
      </c>
      <c r="NY16" s="42" t="s">
        <v>37</v>
      </c>
      <c r="NZ16" s="1">
        <v>1</v>
      </c>
    </row>
    <row r="17" spans="1:390" x14ac:dyDescent="0.35">
      <c r="A17" s="52"/>
      <c r="B17" s="62" t="s">
        <v>62</v>
      </c>
      <c r="C17" s="55"/>
      <c r="D17" s="59"/>
      <c r="E17" s="59"/>
      <c r="F17" s="59"/>
      <c r="G17" s="59"/>
      <c r="H17" s="59"/>
      <c r="I17" s="55"/>
      <c r="J17" s="55"/>
      <c r="K17" s="59"/>
      <c r="L17" s="59"/>
      <c r="M17" s="59"/>
      <c r="N17" s="59"/>
      <c r="O17" s="59"/>
      <c r="P17" s="55"/>
      <c r="Q17" s="55"/>
      <c r="R17" s="59"/>
      <c r="S17" s="59"/>
      <c r="T17" s="59"/>
      <c r="U17" s="59"/>
      <c r="V17" s="59"/>
      <c r="W17" s="59" t="s">
        <v>59</v>
      </c>
      <c r="X17" s="59" t="s">
        <v>59</v>
      </c>
      <c r="Y17" s="59"/>
      <c r="Z17" s="59"/>
      <c r="AA17" s="59"/>
      <c r="AB17" s="59"/>
      <c r="AC17" s="59"/>
      <c r="AD17" s="59" t="s">
        <v>59</v>
      </c>
      <c r="AE17" s="59" t="s">
        <v>59</v>
      </c>
      <c r="AF17" s="59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55"/>
      <c r="CO17" s="55"/>
      <c r="CP17" s="55"/>
      <c r="CQ17" s="55"/>
      <c r="CR17" s="55"/>
      <c r="CS17" s="55"/>
      <c r="CT17" s="55"/>
      <c r="CU17" s="55"/>
      <c r="CV17" s="55"/>
      <c r="CW17" s="55"/>
      <c r="CX17" s="55"/>
      <c r="CY17" s="55"/>
      <c r="CZ17" s="55"/>
      <c r="DA17" s="55"/>
      <c r="DB17" s="55"/>
      <c r="DC17" s="55"/>
      <c r="DD17" s="55"/>
      <c r="DE17" s="55"/>
      <c r="DF17" s="55"/>
      <c r="DG17" s="55"/>
      <c r="DH17" s="55"/>
      <c r="DI17" s="55"/>
      <c r="DJ17" s="55"/>
      <c r="DK17" s="55"/>
      <c r="DL17" s="55"/>
      <c r="DM17" s="55"/>
      <c r="DN17" s="55"/>
      <c r="DO17" s="55"/>
      <c r="DP17" s="55"/>
      <c r="DQ17" s="55"/>
      <c r="DR17" s="55"/>
      <c r="DS17" s="55"/>
      <c r="DT17" s="55"/>
      <c r="DU17" s="55"/>
      <c r="DV17" s="55"/>
      <c r="DW17" s="55"/>
      <c r="DX17" s="55"/>
      <c r="DY17" s="55"/>
      <c r="DZ17" s="55"/>
      <c r="EA17" s="55"/>
      <c r="EB17" s="55"/>
      <c r="EC17" s="55"/>
      <c r="ED17" s="55"/>
      <c r="EE17" s="55"/>
      <c r="EF17" s="55"/>
      <c r="EG17" s="55"/>
      <c r="EH17" s="55"/>
      <c r="EI17" s="55"/>
      <c r="EJ17" s="55"/>
      <c r="EK17" s="55"/>
      <c r="EL17" s="55"/>
      <c r="EM17" s="55"/>
      <c r="EN17" s="55"/>
      <c r="EO17" s="55"/>
      <c r="EP17" s="55"/>
      <c r="EQ17" s="55"/>
      <c r="ER17" s="55"/>
      <c r="ES17" s="55"/>
      <c r="ET17" s="55"/>
      <c r="EU17" s="55"/>
      <c r="EV17" s="55"/>
      <c r="EW17" s="55"/>
      <c r="EX17" s="55"/>
      <c r="EY17" s="55"/>
      <c r="EZ17" s="55"/>
      <c r="FA17" s="55"/>
      <c r="FB17" s="55"/>
      <c r="FC17" s="55"/>
      <c r="FD17" s="55"/>
      <c r="FE17" s="55"/>
      <c r="FF17" s="55"/>
      <c r="FG17" s="55"/>
      <c r="FH17" s="55"/>
      <c r="FI17" s="55"/>
      <c r="FJ17" s="55"/>
      <c r="FK17" s="55"/>
      <c r="FL17" s="55"/>
      <c r="FM17" s="55"/>
      <c r="FN17" s="55"/>
      <c r="FO17" s="55"/>
      <c r="FP17" s="55"/>
      <c r="FQ17" s="55"/>
      <c r="FR17" s="55"/>
      <c r="FS17" s="55"/>
      <c r="FT17" s="55"/>
      <c r="FU17" s="55"/>
      <c r="FV17" s="55"/>
      <c r="FW17" s="55"/>
      <c r="FX17" s="55"/>
      <c r="FY17" s="55"/>
      <c r="FZ17" s="55"/>
      <c r="GA17" s="55"/>
      <c r="GB17" s="55"/>
      <c r="GC17" s="55"/>
      <c r="GD17" s="55"/>
      <c r="GE17" s="55"/>
      <c r="GF17" s="55"/>
      <c r="GG17" s="55"/>
      <c r="GH17" s="55"/>
      <c r="GI17" s="55"/>
      <c r="GJ17" s="55"/>
      <c r="GK17" s="55"/>
      <c r="GL17" s="55"/>
      <c r="GM17" s="55"/>
      <c r="GN17" s="55"/>
      <c r="GO17" s="55"/>
      <c r="GP17" s="55"/>
      <c r="GQ17" s="55"/>
      <c r="GR17" s="55"/>
      <c r="GS17" s="55"/>
      <c r="GT17" s="55"/>
      <c r="GU17" s="55"/>
      <c r="GV17" s="55"/>
      <c r="GW17" s="55"/>
      <c r="GX17" s="55"/>
      <c r="GY17" s="55"/>
      <c r="GZ17" s="55"/>
      <c r="HA17" s="55"/>
      <c r="HB17" s="55"/>
      <c r="HC17" s="55"/>
      <c r="HD17" s="55"/>
      <c r="HE17" s="55"/>
      <c r="HF17" s="55"/>
      <c r="HG17" s="55"/>
      <c r="HH17" s="55"/>
      <c r="HI17" s="55"/>
      <c r="HJ17" s="55"/>
      <c r="HK17" s="55"/>
      <c r="HL17" s="55"/>
      <c r="HM17" s="55"/>
      <c r="HN17" s="55"/>
      <c r="HO17" s="55"/>
      <c r="HP17" s="55"/>
      <c r="HQ17" s="55"/>
      <c r="HR17" s="55"/>
      <c r="HS17" s="55"/>
      <c r="HT17" s="55"/>
      <c r="HU17" s="55"/>
      <c r="HV17" s="55"/>
      <c r="HW17" s="55"/>
      <c r="HX17" s="55"/>
      <c r="HY17" s="55"/>
      <c r="HZ17" s="55"/>
      <c r="IA17" s="55"/>
      <c r="IB17" s="55"/>
      <c r="IC17" s="55"/>
      <c r="ID17" s="55"/>
      <c r="IE17" s="55"/>
      <c r="IF17" s="55"/>
      <c r="IG17" s="55"/>
      <c r="IH17" s="55"/>
      <c r="II17" s="55"/>
      <c r="IJ17" s="55"/>
      <c r="IK17" s="55"/>
      <c r="IL17" s="55"/>
      <c r="IM17" s="55"/>
      <c r="IN17" s="55"/>
      <c r="IO17" s="55"/>
      <c r="IP17" s="55"/>
      <c r="IQ17" s="55"/>
      <c r="IR17" s="55"/>
      <c r="IS17" s="55"/>
      <c r="IT17" s="55"/>
      <c r="IU17" s="55"/>
      <c r="IV17" s="55"/>
      <c r="IW17" s="55"/>
      <c r="IX17" s="55"/>
      <c r="IY17" s="55"/>
      <c r="IZ17" s="55"/>
      <c r="JA17" s="55"/>
      <c r="JB17" s="55"/>
      <c r="JC17" s="55"/>
      <c r="JD17" s="55"/>
      <c r="JE17" s="55"/>
      <c r="JF17" s="55"/>
      <c r="JG17" s="55"/>
      <c r="JH17" s="55"/>
      <c r="JI17" s="55"/>
      <c r="JJ17" s="55"/>
      <c r="JK17" s="55"/>
      <c r="JL17" s="55"/>
      <c r="JM17" s="55"/>
      <c r="JN17" s="55"/>
      <c r="JO17" s="55"/>
      <c r="JP17" s="55"/>
      <c r="JQ17" s="55"/>
      <c r="JR17" s="55"/>
      <c r="JS17" s="55"/>
      <c r="JT17" s="55"/>
      <c r="JU17" s="55"/>
      <c r="JV17" s="55"/>
      <c r="JW17" s="55"/>
      <c r="JX17" s="55"/>
      <c r="JY17" s="55"/>
      <c r="JZ17" s="55"/>
      <c r="KA17" s="55"/>
      <c r="KB17" s="55"/>
      <c r="KC17" s="55"/>
      <c r="KD17" s="55"/>
      <c r="KE17" s="55"/>
      <c r="KF17" s="55"/>
      <c r="KG17" s="55"/>
      <c r="KH17" s="55"/>
      <c r="KI17" s="55"/>
      <c r="KJ17" s="55"/>
      <c r="KK17" s="55"/>
      <c r="KL17" s="55"/>
      <c r="KM17" s="55"/>
      <c r="KN17" s="55"/>
      <c r="KO17" s="55"/>
      <c r="KP17" s="55"/>
      <c r="KQ17" s="55"/>
      <c r="KR17" s="55"/>
      <c r="KS17" s="55"/>
      <c r="KT17" s="55"/>
      <c r="KU17" s="55"/>
      <c r="KV17" s="55"/>
      <c r="KW17" s="55"/>
      <c r="KX17" s="55"/>
      <c r="KY17" s="55"/>
      <c r="KZ17" s="55"/>
      <c r="LA17" s="55"/>
      <c r="LB17" s="55"/>
      <c r="LC17" s="55"/>
      <c r="LD17" s="55"/>
      <c r="LE17" s="55"/>
      <c r="LF17" s="55"/>
      <c r="LG17" s="55"/>
      <c r="LH17" s="55"/>
      <c r="LI17" s="55"/>
      <c r="LJ17" s="55"/>
      <c r="LK17" s="55"/>
      <c r="LL17" s="55"/>
      <c r="LM17" s="55"/>
      <c r="LN17" s="55"/>
      <c r="LO17" s="55"/>
      <c r="LP17" s="55"/>
      <c r="LQ17" s="55"/>
      <c r="LR17" s="55"/>
      <c r="LS17" s="55"/>
      <c r="LT17" s="55"/>
      <c r="LU17" s="55"/>
      <c r="LV17" s="55"/>
      <c r="LW17" s="55"/>
      <c r="LX17" s="55"/>
      <c r="LY17" s="55"/>
      <c r="LZ17" s="55"/>
      <c r="MA17" s="55"/>
      <c r="MB17" s="55"/>
      <c r="MC17" s="55"/>
      <c r="MD17" s="55"/>
      <c r="ME17" s="77" t="s">
        <v>51</v>
      </c>
      <c r="MF17" s="55"/>
      <c r="MG17" s="55"/>
      <c r="MH17" s="55"/>
      <c r="MI17" s="59"/>
      <c r="MJ17" s="55"/>
      <c r="MK17" s="55"/>
      <c r="ML17" s="55"/>
      <c r="MM17" s="55"/>
      <c r="MN17" s="55"/>
      <c r="MO17" s="55"/>
      <c r="MP17" s="55"/>
      <c r="MQ17" s="55"/>
      <c r="MR17" s="55"/>
      <c r="MS17" s="55"/>
      <c r="MT17" s="55"/>
      <c r="MU17" s="55"/>
      <c r="MV17" s="55"/>
      <c r="MW17" s="55"/>
      <c r="MX17" s="55"/>
      <c r="MY17" s="55"/>
      <c r="MZ17" s="55"/>
      <c r="NA17" s="55"/>
      <c r="NB17" s="55"/>
      <c r="NC17" s="55"/>
      <c r="ND17" s="55"/>
      <c r="NE17" s="55"/>
      <c r="NF17" s="55"/>
      <c r="NG17" s="55"/>
      <c r="NH17" s="55"/>
      <c r="NI17" s="55"/>
      <c r="NJ17" s="2"/>
      <c r="NK17" s="15" cm="1">
        <f t="array" aca="1" ref="NK17" ca="1">SUMPRODUCT((OFFSET($B17,0,31*($B$5-1)+1,1,31)&lt;&gt;"")*(IF(OFFSET($B17,0,31*($B$5-1)+1,1,31)=$NY$12,0.5,IF(OFFSET($B17,0,31*($B$5-1)+1,1,31)=$NY$13,0.5,1))*(OFFSET($B$6,0,31*($B$5-1)+1,1,31))))</f>
        <v>0</v>
      </c>
      <c r="NL17" s="19" cm="1">
        <f t="array" aca="1" ref="NL17" ca="1">SUMPRODUCT((OFFSET($B17,0,1,1,372)&lt;&gt;"")*(IF(OFFSET($B17,0,1,1,372)=$NY$12,0.5,IF(OFFSET($B17,0,1,1,372)=$NY$13,0.5,1))*(OFFSET($B$5,0,1,1,372))))</f>
        <v>1</v>
      </c>
      <c r="NM17" s="38">
        <f t="shared" ca="1" si="7"/>
        <v>0</v>
      </c>
      <c r="NN17" s="38">
        <f t="shared" ca="1" si="7"/>
        <v>1</v>
      </c>
      <c r="NO17" s="38">
        <f t="shared" ca="1" si="7"/>
        <v>0</v>
      </c>
      <c r="NP17" s="38">
        <f t="shared" ca="1" si="7"/>
        <v>0</v>
      </c>
      <c r="NQ17" s="38">
        <f t="shared" ca="1" si="7"/>
        <v>0</v>
      </c>
      <c r="NR17" s="38">
        <f t="shared" ca="1" si="7"/>
        <v>0</v>
      </c>
      <c r="NS17" s="38">
        <f t="shared" ca="1" si="8"/>
        <v>0</v>
      </c>
      <c r="NX17" s="66" t="s">
        <v>65</v>
      </c>
      <c r="NY17" s="67" t="s">
        <v>59</v>
      </c>
      <c r="NZ17" s="1">
        <v>1</v>
      </c>
    </row>
    <row r="18" spans="1:390" x14ac:dyDescent="0.35">
      <c r="A18" s="52"/>
      <c r="B18" s="30" t="s">
        <v>74</v>
      </c>
      <c r="C18" s="55"/>
      <c r="D18" s="59"/>
      <c r="E18" s="61"/>
      <c r="F18" s="59"/>
      <c r="G18" s="61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55"/>
      <c r="CO18" s="55"/>
      <c r="CP18" s="55"/>
      <c r="CQ18" s="55"/>
      <c r="CR18" s="55"/>
      <c r="CS18" s="55"/>
      <c r="CT18" s="55"/>
      <c r="CU18" s="55"/>
      <c r="CV18" s="55"/>
      <c r="CW18" s="55"/>
      <c r="CX18" s="55"/>
      <c r="CY18" s="55"/>
      <c r="CZ18" s="55"/>
      <c r="DA18" s="55"/>
      <c r="DB18" s="55"/>
      <c r="DC18" s="55"/>
      <c r="DD18" s="55"/>
      <c r="DE18" s="55"/>
      <c r="DF18" s="55"/>
      <c r="DG18" s="55"/>
      <c r="DH18" s="55"/>
      <c r="DI18" s="55"/>
      <c r="DJ18" s="55"/>
      <c r="DK18" s="55"/>
      <c r="DL18" s="55"/>
      <c r="DM18" s="55"/>
      <c r="DN18" s="55"/>
      <c r="DO18" s="55"/>
      <c r="DP18" s="55"/>
      <c r="DQ18" s="55"/>
      <c r="DR18" s="55"/>
      <c r="DS18" s="55"/>
      <c r="DT18" s="55"/>
      <c r="DU18" s="55"/>
      <c r="DV18" s="55"/>
      <c r="DW18" s="55"/>
      <c r="DX18" s="55"/>
      <c r="DY18" s="55"/>
      <c r="DZ18" s="55"/>
      <c r="EA18" s="55"/>
      <c r="EB18" s="55"/>
      <c r="EC18" s="55"/>
      <c r="ED18" s="55"/>
      <c r="EE18" s="55"/>
      <c r="EF18" s="55"/>
      <c r="EG18" s="55"/>
      <c r="EH18" s="55"/>
      <c r="EI18" s="55"/>
      <c r="EJ18" s="55"/>
      <c r="EK18" s="55"/>
      <c r="EL18" s="55"/>
      <c r="EM18" s="55"/>
      <c r="EN18" s="55"/>
      <c r="EO18" s="55"/>
      <c r="EP18" s="55"/>
      <c r="EQ18" s="55"/>
      <c r="ER18" s="55"/>
      <c r="ES18" s="55"/>
      <c r="ET18" s="55"/>
      <c r="EU18" s="55"/>
      <c r="EV18" s="55"/>
      <c r="EW18" s="55"/>
      <c r="EX18" s="55"/>
      <c r="EY18" s="55"/>
      <c r="EZ18" s="55"/>
      <c r="FA18" s="55"/>
      <c r="FB18" s="55"/>
      <c r="FC18" s="55"/>
      <c r="FD18" s="55"/>
      <c r="FE18" s="55"/>
      <c r="FF18" s="55"/>
      <c r="FG18" s="55"/>
      <c r="FH18" s="55"/>
      <c r="FI18" s="55"/>
      <c r="FJ18" s="55"/>
      <c r="FK18" s="55"/>
      <c r="FL18" s="55"/>
      <c r="FM18" s="55"/>
      <c r="FN18" s="55"/>
      <c r="FO18" s="55"/>
      <c r="FP18" s="55"/>
      <c r="FQ18" s="55"/>
      <c r="FR18" s="55"/>
      <c r="FS18" s="55"/>
      <c r="FT18" s="55"/>
      <c r="FU18" s="55"/>
      <c r="FV18" s="55"/>
      <c r="FW18" s="55"/>
      <c r="FX18" s="55"/>
      <c r="FY18" s="55"/>
      <c r="FZ18" s="55"/>
      <c r="GA18" s="55"/>
      <c r="GB18" s="55"/>
      <c r="GC18" s="55"/>
      <c r="GD18" s="55"/>
      <c r="GE18" s="55"/>
      <c r="GF18" s="55"/>
      <c r="GG18" s="55"/>
      <c r="GH18" s="55"/>
      <c r="GI18" s="55"/>
      <c r="GJ18" s="55"/>
      <c r="GK18" s="55"/>
      <c r="GL18" s="55"/>
      <c r="GM18" s="55"/>
      <c r="GN18" s="55"/>
      <c r="GO18" s="55"/>
      <c r="GP18" s="55"/>
      <c r="GQ18" s="55"/>
      <c r="GR18" s="55"/>
      <c r="GS18" s="55"/>
      <c r="GT18" s="55"/>
      <c r="GU18" s="55"/>
      <c r="GV18" s="55"/>
      <c r="GW18" s="55"/>
      <c r="GX18" s="55"/>
      <c r="GY18" s="55"/>
      <c r="GZ18" s="55"/>
      <c r="HA18" s="55"/>
      <c r="HB18" s="55"/>
      <c r="HC18" s="55"/>
      <c r="HD18" s="55"/>
      <c r="HE18" s="55"/>
      <c r="HF18" s="55"/>
      <c r="HG18" s="55"/>
      <c r="HH18" s="55"/>
      <c r="HI18" s="55"/>
      <c r="HJ18" s="55"/>
      <c r="HK18" s="55"/>
      <c r="HL18" s="55"/>
      <c r="HM18" s="55"/>
      <c r="HN18" s="55"/>
      <c r="HO18" s="55"/>
      <c r="HP18" s="55"/>
      <c r="HQ18" s="55"/>
      <c r="HR18" s="55"/>
      <c r="HS18" s="55"/>
      <c r="HT18" s="55"/>
      <c r="HU18" s="55"/>
      <c r="HV18" s="55"/>
      <c r="HW18" s="55"/>
      <c r="HX18" s="55"/>
      <c r="HY18" s="55"/>
      <c r="HZ18" s="55"/>
      <c r="IA18" s="55"/>
      <c r="IB18" s="55"/>
      <c r="IC18" s="55"/>
      <c r="ID18" s="55"/>
      <c r="IE18" s="55"/>
      <c r="IF18" s="55"/>
      <c r="IG18" s="55"/>
      <c r="IH18" s="55"/>
      <c r="II18" s="55"/>
      <c r="IJ18" s="55"/>
      <c r="IK18" s="55"/>
      <c r="IL18" s="55"/>
      <c r="IM18" s="55"/>
      <c r="IN18" s="55"/>
      <c r="IO18" s="55"/>
      <c r="IP18" s="55"/>
      <c r="IQ18" s="55"/>
      <c r="IR18" s="55"/>
      <c r="IS18" s="55"/>
      <c r="IT18" s="55"/>
      <c r="IU18" s="55"/>
      <c r="IV18" s="55"/>
      <c r="IW18" s="55"/>
      <c r="IX18" s="55"/>
      <c r="IY18" s="55"/>
      <c r="IZ18" s="55"/>
      <c r="JA18" s="55"/>
      <c r="JB18" s="55"/>
      <c r="JC18" s="55"/>
      <c r="JD18" s="55"/>
      <c r="JE18" s="55"/>
      <c r="JF18" s="55"/>
      <c r="JG18" s="55"/>
      <c r="JH18" s="55"/>
      <c r="JI18" s="55"/>
      <c r="JJ18" s="55"/>
      <c r="JK18" s="55"/>
      <c r="JL18" s="55"/>
      <c r="JM18" s="55"/>
      <c r="JN18" s="55"/>
      <c r="JO18" s="55"/>
      <c r="JP18" s="55"/>
      <c r="JQ18" s="55"/>
      <c r="JR18" s="55"/>
      <c r="JS18" s="55"/>
      <c r="JT18" s="55"/>
      <c r="JU18" s="55"/>
      <c r="JV18" s="55"/>
      <c r="JW18" s="55"/>
      <c r="JX18" s="55"/>
      <c r="JY18" s="55"/>
      <c r="JZ18" s="55"/>
      <c r="KA18" s="55"/>
      <c r="KB18" s="55"/>
      <c r="KC18" s="55"/>
      <c r="KD18" s="55"/>
      <c r="KE18" s="55"/>
      <c r="KF18" s="55"/>
      <c r="KG18" s="55"/>
      <c r="KH18" s="55"/>
      <c r="KI18" s="55"/>
      <c r="KJ18" s="55"/>
      <c r="KK18" s="55"/>
      <c r="KL18" s="55"/>
      <c r="KM18" s="55"/>
      <c r="KN18" s="55"/>
      <c r="KO18" s="55"/>
      <c r="KP18" s="55"/>
      <c r="KQ18" s="55"/>
      <c r="KR18" s="55"/>
      <c r="KS18" s="55"/>
      <c r="KT18" s="55"/>
      <c r="KU18" s="55"/>
      <c r="KV18" s="55"/>
      <c r="KW18" s="55"/>
      <c r="KX18" s="55"/>
      <c r="KY18" s="55"/>
      <c r="KZ18" s="55"/>
      <c r="LA18" s="55"/>
      <c r="LB18" s="55"/>
      <c r="LC18" s="55"/>
      <c r="LD18" s="55"/>
      <c r="LE18" s="55"/>
      <c r="LF18" s="55"/>
      <c r="LG18" s="55"/>
      <c r="LH18" s="55"/>
      <c r="LI18" s="55"/>
      <c r="LJ18" s="55"/>
      <c r="LK18" s="55"/>
      <c r="LL18" s="55"/>
      <c r="LM18" s="55"/>
      <c r="LN18" s="55"/>
      <c r="LO18" s="55"/>
      <c r="LP18" s="55"/>
      <c r="LQ18" s="55"/>
      <c r="LR18" s="55"/>
      <c r="LS18" s="55"/>
      <c r="LT18" s="55"/>
      <c r="LU18" s="55"/>
      <c r="LV18" s="55"/>
      <c r="LW18" s="55"/>
      <c r="LX18" s="55"/>
      <c r="LY18" s="55"/>
      <c r="LZ18" s="55"/>
      <c r="MA18" s="55"/>
      <c r="MB18" s="55"/>
      <c r="MC18" s="55"/>
      <c r="MD18" s="55"/>
      <c r="ME18" s="77" t="s">
        <v>51</v>
      </c>
      <c r="MF18" s="55"/>
      <c r="MG18" s="55"/>
      <c r="MH18" s="55"/>
      <c r="MI18" s="55"/>
      <c r="MJ18" s="55"/>
      <c r="MK18" s="55"/>
      <c r="ML18" s="55"/>
      <c r="MM18" s="55"/>
      <c r="MN18" s="55"/>
      <c r="MO18" s="55"/>
      <c r="MP18" s="55"/>
      <c r="MQ18" s="55"/>
      <c r="MR18" s="55"/>
      <c r="MS18" s="55"/>
      <c r="MT18" s="55"/>
      <c r="MU18" s="55"/>
      <c r="MV18" s="55"/>
      <c r="MW18" s="55"/>
      <c r="MX18" s="55"/>
      <c r="MY18" s="55"/>
      <c r="MZ18" s="55"/>
      <c r="NA18" s="55"/>
      <c r="NB18" s="55"/>
      <c r="NC18" s="55"/>
      <c r="ND18" s="55"/>
      <c r="NE18" s="55"/>
      <c r="NF18" s="55"/>
      <c r="NG18" s="55"/>
      <c r="NH18" s="55"/>
      <c r="NI18" s="55"/>
      <c r="NJ18" s="2"/>
      <c r="NK18" s="15" cm="1">
        <f t="array" aca="1" ref="NK18" ca="1">SUMPRODUCT((OFFSET($B18,0,31*($B$5-1)+1,1,31)&lt;&gt;"")*(IF(OFFSET($B18,0,31*($B$5-1)+1,1,31)=$NY$12,0.5,IF(OFFSET($B18,0,31*($B$5-1)+1,1,31)=$NY$13,0.5,1))*(OFFSET($B$6,0,31*($B$5-1)+1,1,31))))</f>
        <v>0</v>
      </c>
      <c r="NL18" s="19" cm="1">
        <f t="array" aca="1" ref="NL18" ca="1">SUMPRODUCT((OFFSET($B18,0,1,1,372)&lt;&gt;"")*(IF(OFFSET($B18,0,1,1,372)=$NY$12,0.5,IF(OFFSET($B18,0,1,1,372)=$NY$13,0.5,1))*(OFFSET($B$5,0,1,1,372))))</f>
        <v>1</v>
      </c>
      <c r="NM18" s="38">
        <f t="shared" ca="1" si="7"/>
        <v>0</v>
      </c>
      <c r="NN18" s="38">
        <f t="shared" ca="1" si="7"/>
        <v>1</v>
      </c>
      <c r="NO18" s="38">
        <f t="shared" ca="1" si="7"/>
        <v>0</v>
      </c>
      <c r="NP18" s="38">
        <f t="shared" ca="1" si="7"/>
        <v>0</v>
      </c>
      <c r="NQ18" s="38">
        <f t="shared" ca="1" si="7"/>
        <v>0</v>
      </c>
      <c r="NR18" s="38">
        <f t="shared" ca="1" si="7"/>
        <v>0</v>
      </c>
      <c r="NS18" s="38">
        <f t="shared" ca="1" si="8"/>
        <v>0</v>
      </c>
      <c r="NX18" s="72" t="s">
        <v>60</v>
      </c>
      <c r="NY18" s="73" t="s">
        <v>61</v>
      </c>
      <c r="NZ18" s="1">
        <v>0</v>
      </c>
    </row>
    <row r="19" spans="1:390" x14ac:dyDescent="0.35">
      <c r="A19" s="52" t="s">
        <v>68</v>
      </c>
      <c r="B19" s="30" t="s">
        <v>74</v>
      </c>
      <c r="C19" s="55"/>
      <c r="D19" s="55"/>
      <c r="E19" s="59"/>
      <c r="F19" s="55"/>
      <c r="G19" s="59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61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55"/>
      <c r="CO19" s="55"/>
      <c r="CP19" s="55"/>
      <c r="CQ19" s="55"/>
      <c r="CR19" s="55"/>
      <c r="CS19" s="55"/>
      <c r="CT19" s="55"/>
      <c r="CU19" s="55"/>
      <c r="CV19" s="55"/>
      <c r="CW19" s="55"/>
      <c r="CX19" s="55"/>
      <c r="CY19" s="55"/>
      <c r="CZ19" s="55"/>
      <c r="DA19" s="55"/>
      <c r="DB19" s="55"/>
      <c r="DC19" s="55"/>
      <c r="DD19" s="55"/>
      <c r="DE19" s="55"/>
      <c r="DF19" s="55"/>
      <c r="DG19" s="55"/>
      <c r="DH19" s="55"/>
      <c r="DI19" s="55"/>
      <c r="DJ19" s="55"/>
      <c r="DK19" s="55"/>
      <c r="DL19" s="55"/>
      <c r="DM19" s="55"/>
      <c r="DN19" s="55"/>
      <c r="DO19" s="55"/>
      <c r="DP19" s="55"/>
      <c r="DQ19" s="55"/>
      <c r="DR19" s="55"/>
      <c r="DS19" s="55"/>
      <c r="DT19" s="55"/>
      <c r="DU19" s="55"/>
      <c r="DV19" s="55"/>
      <c r="DW19" s="55"/>
      <c r="DX19" s="55"/>
      <c r="DY19" s="55"/>
      <c r="DZ19" s="55"/>
      <c r="EA19" s="55"/>
      <c r="EB19" s="55"/>
      <c r="EC19" s="55"/>
      <c r="ED19" s="55"/>
      <c r="EE19" s="55"/>
      <c r="EF19" s="55"/>
      <c r="EG19" s="55"/>
      <c r="EH19" s="55"/>
      <c r="EI19" s="55"/>
      <c r="EJ19" s="55"/>
      <c r="EK19" s="55"/>
      <c r="EL19" s="55"/>
      <c r="EM19" s="55"/>
      <c r="EN19" s="55"/>
      <c r="EO19" s="55"/>
      <c r="EP19" s="55"/>
      <c r="EQ19" s="55"/>
      <c r="ER19" s="55"/>
      <c r="ES19" s="55"/>
      <c r="ET19" s="55"/>
      <c r="EU19" s="55"/>
      <c r="EV19" s="55"/>
      <c r="EW19" s="55"/>
      <c r="EX19" s="55"/>
      <c r="EY19" s="55"/>
      <c r="EZ19" s="55"/>
      <c r="FA19" s="55"/>
      <c r="FB19" s="55"/>
      <c r="FC19" s="55"/>
      <c r="FD19" s="55"/>
      <c r="FE19" s="55"/>
      <c r="FF19" s="55"/>
      <c r="FG19" s="55"/>
      <c r="FH19" s="55"/>
      <c r="FI19" s="55"/>
      <c r="FJ19" s="55"/>
      <c r="FK19" s="55"/>
      <c r="FL19" s="55"/>
      <c r="FM19" s="55"/>
      <c r="FN19" s="55"/>
      <c r="FO19" s="55"/>
      <c r="FP19" s="55"/>
      <c r="FQ19" s="55"/>
      <c r="FR19" s="55"/>
      <c r="FS19" s="55"/>
      <c r="FT19" s="55"/>
      <c r="FU19" s="55"/>
      <c r="FV19" s="55"/>
      <c r="FW19" s="55"/>
      <c r="FX19" s="55"/>
      <c r="FY19" s="55"/>
      <c r="FZ19" s="55"/>
      <c r="GA19" s="55"/>
      <c r="GB19" s="55"/>
      <c r="GC19" s="55"/>
      <c r="GD19" s="55"/>
      <c r="GE19" s="55"/>
      <c r="GF19" s="55"/>
      <c r="GG19" s="55"/>
      <c r="GH19" s="55"/>
      <c r="GI19" s="55"/>
      <c r="GJ19" s="55"/>
      <c r="GK19" s="55"/>
      <c r="GL19" s="55"/>
      <c r="GM19" s="55"/>
      <c r="GN19" s="55"/>
      <c r="GO19" s="55"/>
      <c r="GP19" s="55"/>
      <c r="GQ19" s="55"/>
      <c r="GR19" s="55"/>
      <c r="GS19" s="55"/>
      <c r="GT19" s="55"/>
      <c r="GU19" s="55"/>
      <c r="GV19" s="55"/>
      <c r="GW19" s="55"/>
      <c r="GX19" s="55"/>
      <c r="GY19" s="55"/>
      <c r="GZ19" s="55"/>
      <c r="HA19" s="55"/>
      <c r="HB19" s="55"/>
      <c r="HC19" s="55"/>
      <c r="HD19" s="55"/>
      <c r="HE19" s="55"/>
      <c r="HF19" s="55"/>
      <c r="HG19" s="55"/>
      <c r="HH19" s="55"/>
      <c r="HI19" s="55"/>
      <c r="HJ19" s="55"/>
      <c r="HK19" s="55"/>
      <c r="HL19" s="55"/>
      <c r="HM19" s="55"/>
      <c r="HN19" s="55"/>
      <c r="HO19" s="55"/>
      <c r="HP19" s="55"/>
      <c r="HQ19" s="55"/>
      <c r="HR19" s="55"/>
      <c r="HS19" s="55"/>
      <c r="HT19" s="55"/>
      <c r="HU19" s="55"/>
      <c r="HV19" s="55"/>
      <c r="HW19" s="55"/>
      <c r="HX19" s="55"/>
      <c r="HY19" s="55"/>
      <c r="HZ19" s="55"/>
      <c r="IA19" s="55"/>
      <c r="IB19" s="55"/>
      <c r="IC19" s="55"/>
      <c r="ID19" s="55"/>
      <c r="IE19" s="55"/>
      <c r="IF19" s="55"/>
      <c r="IG19" s="55"/>
      <c r="IH19" s="55"/>
      <c r="II19" s="55"/>
      <c r="IJ19" s="55"/>
      <c r="IK19" s="55"/>
      <c r="IL19" s="55"/>
      <c r="IM19" s="55"/>
      <c r="IN19" s="55"/>
      <c r="IO19" s="55"/>
      <c r="IP19" s="55"/>
      <c r="IQ19" s="55"/>
      <c r="IR19" s="55"/>
      <c r="IS19" s="55"/>
      <c r="IT19" s="55"/>
      <c r="IU19" s="55"/>
      <c r="IV19" s="55"/>
      <c r="IW19" s="55"/>
      <c r="IX19" s="55"/>
      <c r="IY19" s="55"/>
      <c r="IZ19" s="55"/>
      <c r="JA19" s="55"/>
      <c r="JB19" s="55"/>
      <c r="JC19" s="55"/>
      <c r="JD19" s="55"/>
      <c r="JE19" s="55"/>
      <c r="JF19" s="55"/>
      <c r="JG19" s="55"/>
      <c r="JH19" s="55"/>
      <c r="JI19" s="55"/>
      <c r="JJ19" s="55"/>
      <c r="JK19" s="55"/>
      <c r="JL19" s="55"/>
      <c r="JM19" s="55"/>
      <c r="JN19" s="55"/>
      <c r="JO19" s="55"/>
      <c r="JP19" s="55"/>
      <c r="JQ19" s="55"/>
      <c r="JR19" s="55"/>
      <c r="JS19" s="55"/>
      <c r="JT19" s="55"/>
      <c r="JU19" s="55"/>
      <c r="JV19" s="55"/>
      <c r="JW19" s="55"/>
      <c r="JX19" s="55"/>
      <c r="JY19" s="55"/>
      <c r="JZ19" s="55"/>
      <c r="KA19" s="55"/>
      <c r="KB19" s="55"/>
      <c r="KC19" s="55"/>
      <c r="KD19" s="55"/>
      <c r="KE19" s="55"/>
      <c r="KF19" s="55"/>
      <c r="KG19" s="55"/>
      <c r="KH19" s="55"/>
      <c r="KI19" s="55"/>
      <c r="KJ19" s="55"/>
      <c r="KK19" s="55"/>
      <c r="KL19" s="55"/>
      <c r="KM19" s="55"/>
      <c r="KN19" s="55"/>
      <c r="KO19" s="55"/>
      <c r="KP19" s="55"/>
      <c r="KQ19" s="55"/>
      <c r="KR19" s="55"/>
      <c r="KS19" s="55"/>
      <c r="KT19" s="55"/>
      <c r="KU19" s="55"/>
      <c r="KV19" s="55"/>
      <c r="KW19" s="55"/>
      <c r="KX19" s="55"/>
      <c r="KY19" s="55"/>
      <c r="KZ19" s="55"/>
      <c r="LA19" s="55"/>
      <c r="LB19" s="55"/>
      <c r="LC19" s="55"/>
      <c r="LD19" s="55"/>
      <c r="LE19" s="55"/>
      <c r="LF19" s="55"/>
      <c r="LG19" s="55"/>
      <c r="LH19" s="55"/>
      <c r="LI19" s="55"/>
      <c r="LJ19" s="55"/>
      <c r="LK19" s="55"/>
      <c r="LL19" s="55"/>
      <c r="LM19" s="55"/>
      <c r="LN19" s="55"/>
      <c r="LO19" s="55"/>
      <c r="LP19" s="55"/>
      <c r="LQ19" s="55"/>
      <c r="LR19" s="55"/>
      <c r="LS19" s="55"/>
      <c r="LT19" s="55"/>
      <c r="LU19" s="55"/>
      <c r="LV19" s="55"/>
      <c r="LW19" s="55"/>
      <c r="LX19" s="55"/>
      <c r="LY19" s="55"/>
      <c r="LZ19" s="55"/>
      <c r="MA19" s="55"/>
      <c r="MB19" s="55"/>
      <c r="MC19" s="55"/>
      <c r="MD19" s="55"/>
      <c r="ME19" s="77" t="s">
        <v>51</v>
      </c>
      <c r="MF19" s="55"/>
      <c r="MG19" s="55"/>
      <c r="MH19" s="55"/>
      <c r="MI19" s="55"/>
      <c r="MJ19" s="55"/>
      <c r="MK19" s="55"/>
      <c r="ML19" s="55"/>
      <c r="MM19" s="55"/>
      <c r="MN19" s="55"/>
      <c r="MO19" s="55"/>
      <c r="MP19" s="55"/>
      <c r="MQ19" s="55"/>
      <c r="MR19" s="55"/>
      <c r="MS19" s="55"/>
      <c r="MT19" s="55"/>
      <c r="MU19" s="55"/>
      <c r="MV19" s="55"/>
      <c r="MW19" s="55"/>
      <c r="MX19" s="55"/>
      <c r="MY19" s="55"/>
      <c r="MZ19" s="55"/>
      <c r="NA19" s="55"/>
      <c r="NB19" s="55"/>
      <c r="NC19" s="55"/>
      <c r="ND19" s="55"/>
      <c r="NE19" s="55"/>
      <c r="NF19" s="55"/>
      <c r="NG19" s="55"/>
      <c r="NH19" s="55"/>
      <c r="NI19" s="55"/>
      <c r="NJ19" s="2"/>
      <c r="NK19" s="15" cm="1">
        <f t="array" aca="1" ref="NK19" ca="1">SUMPRODUCT((OFFSET($B19,0,31*($B$5-1)+1,1,31)&lt;&gt;"")*(IF(OFFSET($B19,0,31*($B$5-1)+1,1,31)=$NY$12,0.5,IF(OFFSET($B19,0,31*($B$5-1)+1,1,31)=$NY$13,0.5,1))*(OFFSET($B$6,0,31*($B$5-1)+1,1,31))))</f>
        <v>0</v>
      </c>
      <c r="NL19" s="19" cm="1">
        <f t="array" aca="1" ref="NL19" ca="1">SUMPRODUCT((OFFSET($B19,0,1,1,372)&lt;&gt;"")*(IF(OFFSET($B19,0,1,1,372)=$NY$12,0.5,IF(OFFSET($B19,0,1,1,372)=$NY$13,0.5,1))*(OFFSET($B$5,0,1,1,372))))</f>
        <v>1</v>
      </c>
      <c r="NM19" s="38">
        <f t="shared" ca="1" si="7"/>
        <v>0</v>
      </c>
      <c r="NN19" s="38">
        <f t="shared" ca="1" si="7"/>
        <v>1</v>
      </c>
      <c r="NO19" s="38">
        <f t="shared" ca="1" si="7"/>
        <v>0</v>
      </c>
      <c r="NP19" s="38">
        <f t="shared" ca="1" si="7"/>
        <v>0</v>
      </c>
      <c r="NQ19" s="38">
        <f t="shared" ca="1" si="7"/>
        <v>0</v>
      </c>
      <c r="NR19" s="38">
        <f t="shared" ca="1" si="7"/>
        <v>0</v>
      </c>
      <c r="NS19" s="38">
        <f t="shared" ca="1" si="8"/>
        <v>0</v>
      </c>
    </row>
    <row r="20" spans="1:390" x14ac:dyDescent="0.35">
      <c r="A20" s="52" t="s">
        <v>69</v>
      </c>
      <c r="B20" s="30" t="s">
        <v>74</v>
      </c>
      <c r="C20" s="55"/>
      <c r="D20" s="59"/>
      <c r="E20" s="59"/>
      <c r="F20" s="61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55"/>
      <c r="CO20" s="55"/>
      <c r="CP20" s="55"/>
      <c r="CQ20" s="55"/>
      <c r="CR20" s="55"/>
      <c r="CS20" s="55"/>
      <c r="CT20" s="55"/>
      <c r="CU20" s="55"/>
      <c r="CV20" s="55"/>
      <c r="CW20" s="55"/>
      <c r="CX20" s="55"/>
      <c r="CY20" s="55"/>
      <c r="CZ20" s="55"/>
      <c r="DA20" s="55"/>
      <c r="DB20" s="55"/>
      <c r="DC20" s="55"/>
      <c r="DD20" s="55"/>
      <c r="DE20" s="55"/>
      <c r="DF20" s="55"/>
      <c r="DG20" s="55"/>
      <c r="DH20" s="55"/>
      <c r="DI20" s="55"/>
      <c r="DJ20" s="55"/>
      <c r="DK20" s="55"/>
      <c r="DL20" s="55"/>
      <c r="DM20" s="55"/>
      <c r="DN20" s="55"/>
      <c r="DO20" s="55"/>
      <c r="DP20" s="55"/>
      <c r="DQ20" s="55"/>
      <c r="DR20" s="55"/>
      <c r="DS20" s="55"/>
      <c r="DT20" s="55"/>
      <c r="DU20" s="55"/>
      <c r="DV20" s="55"/>
      <c r="DW20" s="55"/>
      <c r="DX20" s="55"/>
      <c r="DY20" s="55"/>
      <c r="DZ20" s="55"/>
      <c r="EA20" s="55"/>
      <c r="EB20" s="55"/>
      <c r="EC20" s="55"/>
      <c r="ED20" s="55"/>
      <c r="EE20" s="55"/>
      <c r="EF20" s="55"/>
      <c r="EG20" s="55"/>
      <c r="EH20" s="55"/>
      <c r="EI20" s="55"/>
      <c r="EJ20" s="55"/>
      <c r="EK20" s="55"/>
      <c r="EL20" s="55"/>
      <c r="EM20" s="55"/>
      <c r="EN20" s="55"/>
      <c r="EO20" s="55"/>
      <c r="EP20" s="55"/>
      <c r="EQ20" s="55"/>
      <c r="ER20" s="55"/>
      <c r="ES20" s="55"/>
      <c r="ET20" s="55"/>
      <c r="EU20" s="55"/>
      <c r="EV20" s="55"/>
      <c r="EW20" s="55"/>
      <c r="EX20" s="55"/>
      <c r="EY20" s="55"/>
      <c r="EZ20" s="55"/>
      <c r="FA20" s="55"/>
      <c r="FB20" s="55"/>
      <c r="FC20" s="55"/>
      <c r="FD20" s="55"/>
      <c r="FE20" s="55"/>
      <c r="FF20" s="55"/>
      <c r="FG20" s="55"/>
      <c r="FH20" s="55"/>
      <c r="FI20" s="55"/>
      <c r="FJ20" s="55"/>
      <c r="FK20" s="55"/>
      <c r="FL20" s="55"/>
      <c r="FM20" s="55"/>
      <c r="FN20" s="55"/>
      <c r="FO20" s="55"/>
      <c r="FP20" s="55"/>
      <c r="FQ20" s="55"/>
      <c r="FR20" s="55"/>
      <c r="FS20" s="55"/>
      <c r="FT20" s="55"/>
      <c r="FU20" s="55"/>
      <c r="FV20" s="55"/>
      <c r="FW20" s="55"/>
      <c r="FX20" s="55"/>
      <c r="FY20" s="55"/>
      <c r="FZ20" s="55"/>
      <c r="GA20" s="55"/>
      <c r="GB20" s="55"/>
      <c r="GC20" s="55"/>
      <c r="GD20" s="55"/>
      <c r="GE20" s="55"/>
      <c r="GF20" s="55"/>
      <c r="GG20" s="55"/>
      <c r="GH20" s="55"/>
      <c r="GI20" s="55"/>
      <c r="GJ20" s="55"/>
      <c r="GK20" s="55"/>
      <c r="GL20" s="55"/>
      <c r="GM20" s="55"/>
      <c r="GN20" s="55"/>
      <c r="GO20" s="55"/>
      <c r="GP20" s="55"/>
      <c r="GQ20" s="55"/>
      <c r="GR20" s="55"/>
      <c r="GS20" s="55"/>
      <c r="GT20" s="55"/>
      <c r="GU20" s="55"/>
      <c r="GV20" s="55"/>
      <c r="GW20" s="55"/>
      <c r="GX20" s="55"/>
      <c r="GY20" s="55"/>
      <c r="GZ20" s="55"/>
      <c r="HA20" s="55"/>
      <c r="HB20" s="55"/>
      <c r="HC20" s="55"/>
      <c r="HD20" s="55"/>
      <c r="HE20" s="55"/>
      <c r="HF20" s="55"/>
      <c r="HG20" s="55"/>
      <c r="HH20" s="55"/>
      <c r="HI20" s="55"/>
      <c r="HJ20" s="55"/>
      <c r="HK20" s="55"/>
      <c r="HL20" s="55"/>
      <c r="HM20" s="55"/>
      <c r="HN20" s="55"/>
      <c r="HO20" s="55"/>
      <c r="HP20" s="55"/>
      <c r="HQ20" s="55"/>
      <c r="HR20" s="55"/>
      <c r="HS20" s="55"/>
      <c r="HT20" s="55"/>
      <c r="HU20" s="55"/>
      <c r="HV20" s="55"/>
      <c r="HW20" s="55"/>
      <c r="HX20" s="55"/>
      <c r="HY20" s="55"/>
      <c r="HZ20" s="55"/>
      <c r="IA20" s="55"/>
      <c r="IB20" s="55"/>
      <c r="IC20" s="55"/>
      <c r="ID20" s="55"/>
      <c r="IE20" s="55"/>
      <c r="IF20" s="55"/>
      <c r="IG20" s="55"/>
      <c r="IH20" s="55"/>
      <c r="II20" s="55"/>
      <c r="IJ20" s="55"/>
      <c r="IK20" s="55"/>
      <c r="IL20" s="55"/>
      <c r="IM20" s="55"/>
      <c r="IN20" s="55"/>
      <c r="IO20" s="55"/>
      <c r="IP20" s="55"/>
      <c r="IQ20" s="55"/>
      <c r="IR20" s="55"/>
      <c r="IS20" s="55"/>
      <c r="IT20" s="55"/>
      <c r="IU20" s="55"/>
      <c r="IV20" s="55"/>
      <c r="IW20" s="55"/>
      <c r="IX20" s="55"/>
      <c r="IY20" s="55"/>
      <c r="IZ20" s="55"/>
      <c r="JA20" s="55"/>
      <c r="JB20" s="55"/>
      <c r="JC20" s="55"/>
      <c r="JD20" s="55"/>
      <c r="JE20" s="55"/>
      <c r="JF20" s="55"/>
      <c r="JG20" s="55"/>
      <c r="JH20" s="55"/>
      <c r="JI20" s="55"/>
      <c r="JJ20" s="55"/>
      <c r="JK20" s="55"/>
      <c r="JL20" s="55"/>
      <c r="JM20" s="55"/>
      <c r="JN20" s="55"/>
      <c r="JO20" s="55"/>
      <c r="JP20" s="55"/>
      <c r="JQ20" s="55"/>
      <c r="JR20" s="55"/>
      <c r="JS20" s="55"/>
      <c r="JT20" s="55"/>
      <c r="JU20" s="55"/>
      <c r="JV20" s="55"/>
      <c r="JW20" s="55"/>
      <c r="JX20" s="55"/>
      <c r="JY20" s="55"/>
      <c r="JZ20" s="55"/>
      <c r="KA20" s="55"/>
      <c r="KB20" s="55"/>
      <c r="KC20" s="55"/>
      <c r="KD20" s="55"/>
      <c r="KE20" s="55"/>
      <c r="KF20" s="55"/>
      <c r="KG20" s="55"/>
      <c r="KH20" s="55"/>
      <c r="KI20" s="55"/>
      <c r="KJ20" s="55"/>
      <c r="KK20" s="55"/>
      <c r="KL20" s="55"/>
      <c r="KM20" s="55"/>
      <c r="KN20" s="55"/>
      <c r="KO20" s="55"/>
      <c r="KP20" s="55"/>
      <c r="KQ20" s="55"/>
      <c r="KR20" s="55"/>
      <c r="KS20" s="55"/>
      <c r="KT20" s="55"/>
      <c r="KU20" s="55"/>
      <c r="KV20" s="55"/>
      <c r="KW20" s="55"/>
      <c r="KX20" s="55"/>
      <c r="KY20" s="55"/>
      <c r="KZ20" s="55"/>
      <c r="LA20" s="55"/>
      <c r="LB20" s="55"/>
      <c r="LC20" s="55"/>
      <c r="LD20" s="55"/>
      <c r="LE20" s="55"/>
      <c r="LF20" s="55"/>
      <c r="LG20" s="55"/>
      <c r="LH20" s="55"/>
      <c r="LI20" s="55"/>
      <c r="LJ20" s="55"/>
      <c r="LK20" s="55"/>
      <c r="LL20" s="55"/>
      <c r="LM20" s="55"/>
      <c r="LN20" s="55"/>
      <c r="LO20" s="55"/>
      <c r="LP20" s="55"/>
      <c r="LQ20" s="55"/>
      <c r="LR20" s="55"/>
      <c r="LS20" s="55"/>
      <c r="LT20" s="55"/>
      <c r="LU20" s="55"/>
      <c r="LV20" s="55"/>
      <c r="LW20" s="55"/>
      <c r="LX20" s="55"/>
      <c r="LY20" s="55"/>
      <c r="LZ20" s="55"/>
      <c r="MA20" s="55"/>
      <c r="MB20" s="55"/>
      <c r="MC20" s="55"/>
      <c r="MD20" s="55"/>
      <c r="ME20" s="59"/>
      <c r="MF20" s="55"/>
      <c r="MG20" s="55"/>
      <c r="MH20" s="55"/>
      <c r="MI20" s="55"/>
      <c r="MJ20" s="55"/>
      <c r="MK20" s="55"/>
      <c r="ML20" s="55"/>
      <c r="MM20" s="55"/>
      <c r="MN20" s="55"/>
      <c r="MO20" s="55"/>
      <c r="MP20" s="55"/>
      <c r="MQ20" s="55"/>
      <c r="MR20" s="55"/>
      <c r="MS20" s="55"/>
      <c r="MT20" s="55"/>
      <c r="MU20" s="55"/>
      <c r="MV20" s="55"/>
      <c r="MW20" s="55"/>
      <c r="MX20" s="55"/>
      <c r="MY20" s="55"/>
      <c r="MZ20" s="55"/>
      <c r="NA20" s="55"/>
      <c r="NB20" s="55"/>
      <c r="NC20" s="55"/>
      <c r="ND20" s="55"/>
      <c r="NE20" s="55"/>
      <c r="NF20" s="55"/>
      <c r="NG20" s="55"/>
      <c r="NH20" s="55"/>
      <c r="NI20" s="55"/>
      <c r="NJ20" s="2"/>
      <c r="NK20" s="15" cm="1">
        <f t="array" aca="1" ref="NK20" ca="1">SUMPRODUCT((OFFSET($B20,0,31*($B$5-1)+1,1,31)&lt;&gt;"")*(IF(OFFSET($B20,0,31*($B$5-1)+1,1,31)=$NY$12,0.5,IF(OFFSET($B20,0,31*($B$5-1)+1,1,31)=$NY$13,0.5,1))*(OFFSET($B$6,0,31*($B$5-1)+1,1,31))))</f>
        <v>0</v>
      </c>
      <c r="NL20" s="19" cm="1">
        <f t="array" aca="1" ref="NL20" ca="1">SUMPRODUCT((OFFSET($B20,0,1,1,372)&lt;&gt;"")*(IF(OFFSET($B20,0,1,1,372)=$NY$12,0.5,IF(OFFSET($B20,0,1,1,372)=$NY$13,0.5,1))*(OFFSET($B$5,0,1,1,372))))</f>
        <v>0</v>
      </c>
      <c r="NM20" s="38">
        <f t="shared" ca="1" si="7"/>
        <v>0</v>
      </c>
      <c r="NN20" s="38">
        <f t="shared" ca="1" si="7"/>
        <v>0</v>
      </c>
      <c r="NO20" s="38">
        <f t="shared" ca="1" si="7"/>
        <v>0</v>
      </c>
      <c r="NP20" s="38">
        <f t="shared" ca="1" si="7"/>
        <v>0</v>
      </c>
      <c r="NQ20" s="38">
        <f t="shared" ca="1" si="7"/>
        <v>0</v>
      </c>
      <c r="NR20" s="38">
        <f t="shared" ca="1" si="7"/>
        <v>0</v>
      </c>
      <c r="NS20" s="38">
        <f t="shared" ca="1" si="8"/>
        <v>0</v>
      </c>
    </row>
    <row r="21" spans="1:390" x14ac:dyDescent="0.35">
      <c r="A21" s="52" t="s">
        <v>70</v>
      </c>
      <c r="B21" s="30" t="s">
        <v>74</v>
      </c>
      <c r="C21" s="55"/>
      <c r="D21" s="59"/>
      <c r="E21" s="59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55"/>
      <c r="CO21" s="55"/>
      <c r="CP21" s="55"/>
      <c r="CQ21" s="55"/>
      <c r="CR21" s="55"/>
      <c r="CS21" s="55"/>
      <c r="CT21" s="55"/>
      <c r="CU21" s="55"/>
      <c r="CV21" s="55"/>
      <c r="CW21" s="55"/>
      <c r="CX21" s="55"/>
      <c r="CY21" s="55"/>
      <c r="CZ21" s="55"/>
      <c r="DA21" s="55"/>
      <c r="DB21" s="55"/>
      <c r="DC21" s="55"/>
      <c r="DD21" s="55"/>
      <c r="DE21" s="55"/>
      <c r="DF21" s="55"/>
      <c r="DG21" s="55"/>
      <c r="DH21" s="55"/>
      <c r="DI21" s="55"/>
      <c r="DJ21" s="55"/>
      <c r="DK21" s="55"/>
      <c r="DL21" s="55"/>
      <c r="DM21" s="55"/>
      <c r="DN21" s="55"/>
      <c r="DO21" s="55"/>
      <c r="DP21" s="55"/>
      <c r="DQ21" s="55"/>
      <c r="DR21" s="55"/>
      <c r="DS21" s="55"/>
      <c r="DT21" s="55"/>
      <c r="DU21" s="55"/>
      <c r="DV21" s="55"/>
      <c r="DW21" s="55"/>
      <c r="DX21" s="55"/>
      <c r="DY21" s="55"/>
      <c r="DZ21" s="55"/>
      <c r="EA21" s="55"/>
      <c r="EB21" s="55"/>
      <c r="EC21" s="55"/>
      <c r="ED21" s="55"/>
      <c r="EE21" s="55"/>
      <c r="EF21" s="55"/>
      <c r="EG21" s="55"/>
      <c r="EH21" s="55"/>
      <c r="EI21" s="55"/>
      <c r="EJ21" s="55"/>
      <c r="EK21" s="55"/>
      <c r="EL21" s="55"/>
      <c r="EM21" s="55"/>
      <c r="EN21" s="55"/>
      <c r="EO21" s="55"/>
      <c r="EP21" s="55"/>
      <c r="EQ21" s="55"/>
      <c r="ER21" s="55"/>
      <c r="ES21" s="55"/>
      <c r="ET21" s="55"/>
      <c r="EU21" s="55"/>
      <c r="EV21" s="55"/>
      <c r="EW21" s="55"/>
      <c r="EX21" s="55"/>
      <c r="EY21" s="55"/>
      <c r="EZ21" s="55"/>
      <c r="FA21" s="55"/>
      <c r="FB21" s="55"/>
      <c r="FC21" s="55"/>
      <c r="FD21" s="55"/>
      <c r="FE21" s="55"/>
      <c r="FF21" s="55"/>
      <c r="FG21" s="55"/>
      <c r="FH21" s="55"/>
      <c r="FI21" s="55"/>
      <c r="FJ21" s="55"/>
      <c r="FK21" s="55"/>
      <c r="FL21" s="55"/>
      <c r="FM21" s="55"/>
      <c r="FN21" s="55"/>
      <c r="FO21" s="55"/>
      <c r="FP21" s="55"/>
      <c r="FQ21" s="55"/>
      <c r="FR21" s="55"/>
      <c r="FS21" s="55"/>
      <c r="FT21" s="55"/>
      <c r="FU21" s="55"/>
      <c r="FV21" s="55"/>
      <c r="FW21" s="55"/>
      <c r="FX21" s="55"/>
      <c r="FY21" s="55"/>
      <c r="FZ21" s="55"/>
      <c r="GA21" s="55"/>
      <c r="GB21" s="55"/>
      <c r="GC21" s="55"/>
      <c r="GD21" s="55"/>
      <c r="GE21" s="55"/>
      <c r="GF21" s="55"/>
      <c r="GG21" s="55"/>
      <c r="GH21" s="55"/>
      <c r="GI21" s="55"/>
      <c r="GJ21" s="55"/>
      <c r="GK21" s="55"/>
      <c r="GL21" s="55"/>
      <c r="GM21" s="55"/>
      <c r="GN21" s="55"/>
      <c r="GO21" s="55"/>
      <c r="GP21" s="55"/>
      <c r="GQ21" s="55"/>
      <c r="GR21" s="55"/>
      <c r="GS21" s="55"/>
      <c r="GT21" s="55"/>
      <c r="GU21" s="55"/>
      <c r="GV21" s="55"/>
      <c r="GW21" s="55"/>
      <c r="GX21" s="55"/>
      <c r="GY21" s="55"/>
      <c r="GZ21" s="55"/>
      <c r="HA21" s="55"/>
      <c r="HB21" s="55"/>
      <c r="HC21" s="55"/>
      <c r="HD21" s="55"/>
      <c r="HE21" s="55"/>
      <c r="HF21" s="55"/>
      <c r="HG21" s="55"/>
      <c r="HH21" s="55"/>
      <c r="HI21" s="55"/>
      <c r="HJ21" s="55"/>
      <c r="HK21" s="55"/>
      <c r="HL21" s="55"/>
      <c r="HM21" s="55"/>
      <c r="HN21" s="55"/>
      <c r="HO21" s="55"/>
      <c r="HP21" s="55"/>
      <c r="HQ21" s="55"/>
      <c r="HR21" s="55"/>
      <c r="HS21" s="55"/>
      <c r="HT21" s="55"/>
      <c r="HU21" s="55"/>
      <c r="HV21" s="55"/>
      <c r="HW21" s="55"/>
      <c r="HX21" s="55"/>
      <c r="HY21" s="55"/>
      <c r="HZ21" s="55"/>
      <c r="IA21" s="55"/>
      <c r="IB21" s="55"/>
      <c r="IC21" s="55"/>
      <c r="ID21" s="55"/>
      <c r="IE21" s="55"/>
      <c r="IF21" s="55"/>
      <c r="IG21" s="55"/>
      <c r="IH21" s="55"/>
      <c r="II21" s="55"/>
      <c r="IJ21" s="55"/>
      <c r="IK21" s="55"/>
      <c r="IL21" s="55"/>
      <c r="IM21" s="55"/>
      <c r="IN21" s="55"/>
      <c r="IO21" s="55"/>
      <c r="IP21" s="55"/>
      <c r="IQ21" s="55"/>
      <c r="IR21" s="55"/>
      <c r="IS21" s="55"/>
      <c r="IT21" s="55"/>
      <c r="IU21" s="55"/>
      <c r="IV21" s="55"/>
      <c r="IW21" s="55"/>
      <c r="IX21" s="55"/>
      <c r="IY21" s="55"/>
      <c r="IZ21" s="55"/>
      <c r="JA21" s="55"/>
      <c r="JB21" s="55"/>
      <c r="JC21" s="55"/>
      <c r="JD21" s="55"/>
      <c r="JE21" s="55"/>
      <c r="JF21" s="55"/>
      <c r="JG21" s="55"/>
      <c r="JH21" s="55"/>
      <c r="JI21" s="55"/>
      <c r="JJ21" s="55"/>
      <c r="JK21" s="55"/>
      <c r="JL21" s="55"/>
      <c r="JM21" s="55"/>
      <c r="JN21" s="55"/>
      <c r="JO21" s="55"/>
      <c r="JP21" s="55"/>
      <c r="JQ21" s="55"/>
      <c r="JR21" s="55"/>
      <c r="JS21" s="55"/>
      <c r="JT21" s="55"/>
      <c r="JU21" s="55"/>
      <c r="JV21" s="55"/>
      <c r="JW21" s="55"/>
      <c r="JX21" s="55"/>
      <c r="JY21" s="55"/>
      <c r="JZ21" s="55"/>
      <c r="KA21" s="55"/>
      <c r="KB21" s="55"/>
      <c r="KC21" s="55"/>
      <c r="KD21" s="55"/>
      <c r="KE21" s="55"/>
      <c r="KF21" s="55"/>
      <c r="KG21" s="55"/>
      <c r="KH21" s="55"/>
      <c r="KI21" s="55"/>
      <c r="KJ21" s="55"/>
      <c r="KK21" s="55"/>
      <c r="KL21" s="55"/>
      <c r="KM21" s="55"/>
      <c r="KN21" s="55"/>
      <c r="KO21" s="55"/>
      <c r="KP21" s="55"/>
      <c r="KQ21" s="55"/>
      <c r="KR21" s="55"/>
      <c r="KS21" s="55"/>
      <c r="KT21" s="55"/>
      <c r="KU21" s="55"/>
      <c r="KV21" s="55"/>
      <c r="KW21" s="55"/>
      <c r="KX21" s="55"/>
      <c r="KY21" s="55"/>
      <c r="KZ21" s="55"/>
      <c r="LA21" s="55"/>
      <c r="LB21" s="55"/>
      <c r="LC21" s="55"/>
      <c r="LD21" s="55"/>
      <c r="LE21" s="55"/>
      <c r="LF21" s="55"/>
      <c r="LG21" s="55"/>
      <c r="LH21" s="55"/>
      <c r="LI21" s="55"/>
      <c r="LJ21" s="55"/>
      <c r="LK21" s="55"/>
      <c r="LL21" s="55"/>
      <c r="LM21" s="55"/>
      <c r="LN21" s="55"/>
      <c r="LO21" s="55"/>
      <c r="LP21" s="55"/>
      <c r="LQ21" s="55"/>
      <c r="LR21" s="55"/>
      <c r="LS21" s="55"/>
      <c r="LT21" s="55"/>
      <c r="LU21" s="55"/>
      <c r="LV21" s="55"/>
      <c r="LW21" s="55"/>
      <c r="LX21" s="55"/>
      <c r="LY21" s="55"/>
      <c r="LZ21" s="55"/>
      <c r="MA21" s="55"/>
      <c r="MB21" s="55"/>
      <c r="MC21" s="55"/>
      <c r="MD21" s="55"/>
      <c r="ME21" s="59"/>
      <c r="MF21" s="55"/>
      <c r="MG21" s="55"/>
      <c r="MH21" s="55"/>
      <c r="MI21" s="55"/>
      <c r="MJ21" s="55"/>
      <c r="MK21" s="55"/>
      <c r="ML21" s="55"/>
      <c r="MM21" s="55"/>
      <c r="MN21" s="55"/>
      <c r="MO21" s="55"/>
      <c r="MP21" s="55"/>
      <c r="MQ21" s="55"/>
      <c r="MR21" s="55"/>
      <c r="MS21" s="55"/>
      <c r="MT21" s="55"/>
      <c r="MU21" s="59"/>
      <c r="MV21" s="55"/>
      <c r="MW21" s="55"/>
      <c r="MX21" s="55"/>
      <c r="MY21" s="55"/>
      <c r="MZ21" s="55"/>
      <c r="NA21" s="55"/>
      <c r="NB21" s="55"/>
      <c r="NC21" s="55"/>
      <c r="ND21" s="55"/>
      <c r="NE21" s="55"/>
      <c r="NF21" s="55"/>
      <c r="NG21" s="55"/>
      <c r="NH21" s="55"/>
      <c r="NI21" s="55"/>
      <c r="NJ21" s="2"/>
      <c r="NK21" s="15" cm="1">
        <f t="array" aca="1" ref="NK21" ca="1">SUMPRODUCT((OFFSET($B21,0,31*($B$5-1)+1,1,31)&lt;&gt;"")*(IF(OFFSET($B21,0,31*($B$5-1)+1,1,31)=$NY$12,0.5,IF(OFFSET($B21,0,31*($B$5-1)+1,1,31)=$NY$13,0.5,1))*(OFFSET($B$6,0,31*($B$5-1)+1,1,31))))</f>
        <v>0</v>
      </c>
      <c r="NL21" s="19" cm="1">
        <f t="array" aca="1" ref="NL21" ca="1">SUMPRODUCT((OFFSET($B21,0,1,1,372)&lt;&gt;"")*(IF(OFFSET($B21,0,1,1,372)=$NY$12,0.5,IF(OFFSET($B21,0,1,1,372)=$NY$13,0.5,1))*(OFFSET($B$5,0,1,1,372))))</f>
        <v>0</v>
      </c>
      <c r="NM21" s="38">
        <f t="shared" ref="NM21:NR21" ca="1" si="10">SUMPRODUCT((OFFSET($B21,0,1,1,372)&lt;&gt;"")*(OFFSET($B$5,0,1,1,372))*((OFFSET($B21,0,1,1,372))=NM$7))</f>
        <v>0</v>
      </c>
      <c r="NN21" s="38">
        <f t="shared" ca="1" si="10"/>
        <v>0</v>
      </c>
      <c r="NO21" s="38">
        <f t="shared" ca="1" si="10"/>
        <v>0</v>
      </c>
      <c r="NP21" s="38">
        <f t="shared" ca="1" si="10"/>
        <v>0</v>
      </c>
      <c r="NQ21" s="38">
        <f t="shared" ca="1" si="10"/>
        <v>0</v>
      </c>
      <c r="NR21" s="38">
        <f t="shared" ca="1" si="10"/>
        <v>0</v>
      </c>
      <c r="NS21" s="38">
        <f t="shared" ca="1" si="8"/>
        <v>0</v>
      </c>
    </row>
    <row r="22" spans="1:390" x14ac:dyDescent="0.35">
      <c r="A22" s="52" t="s">
        <v>71</v>
      </c>
      <c r="B22" s="62" t="s">
        <v>63</v>
      </c>
      <c r="C22" s="55"/>
      <c r="D22" s="59"/>
      <c r="E22" s="59"/>
      <c r="F22" s="59"/>
      <c r="G22" s="59"/>
      <c r="H22" s="59"/>
      <c r="I22" s="55"/>
      <c r="J22" s="55"/>
      <c r="K22" s="59"/>
      <c r="L22" s="59"/>
      <c r="M22" s="59"/>
      <c r="N22" s="59"/>
      <c r="O22" s="59"/>
      <c r="P22" s="55"/>
      <c r="Q22" s="55"/>
      <c r="R22" s="59"/>
      <c r="S22" s="59"/>
      <c r="T22" s="59"/>
      <c r="U22" s="59"/>
      <c r="V22" s="59"/>
      <c r="W22" s="55"/>
      <c r="X22" s="55"/>
      <c r="Y22" s="59"/>
      <c r="Z22" s="59"/>
      <c r="AA22" s="59"/>
      <c r="AB22" s="59"/>
      <c r="AC22" s="59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55"/>
      <c r="CO22" s="55"/>
      <c r="CP22" s="55"/>
      <c r="CQ22" s="55"/>
      <c r="CR22" s="55"/>
      <c r="CS22" s="55"/>
      <c r="CT22" s="55"/>
      <c r="CU22" s="55"/>
      <c r="CV22" s="55"/>
      <c r="CW22" s="55"/>
      <c r="CX22" s="55"/>
      <c r="CY22" s="55"/>
      <c r="CZ22" s="55"/>
      <c r="DA22" s="55"/>
      <c r="DB22" s="55"/>
      <c r="DC22" s="55"/>
      <c r="DD22" s="55"/>
      <c r="DE22" s="55"/>
      <c r="DF22" s="55"/>
      <c r="DG22" s="55"/>
      <c r="DH22" s="55"/>
      <c r="DI22" s="55"/>
      <c r="DJ22" s="55"/>
      <c r="DK22" s="55"/>
      <c r="DL22" s="55"/>
      <c r="DM22" s="55"/>
      <c r="DN22" s="55"/>
      <c r="DO22" s="55"/>
      <c r="DP22" s="55"/>
      <c r="DQ22" s="55"/>
      <c r="DR22" s="55"/>
      <c r="DS22" s="55"/>
      <c r="DT22" s="55"/>
      <c r="DU22" s="55"/>
      <c r="DV22" s="55"/>
      <c r="DW22" s="55"/>
      <c r="DX22" s="55"/>
      <c r="DY22" s="55"/>
      <c r="DZ22" s="55"/>
      <c r="EA22" s="55"/>
      <c r="EB22" s="55"/>
      <c r="EC22" s="55"/>
      <c r="ED22" s="55"/>
      <c r="EE22" s="55"/>
      <c r="EF22" s="55"/>
      <c r="EG22" s="55"/>
      <c r="EH22" s="55"/>
      <c r="EI22" s="55"/>
      <c r="EJ22" s="55"/>
      <c r="EK22" s="55"/>
      <c r="EL22" s="55"/>
      <c r="EM22" s="55"/>
      <c r="EN22" s="55"/>
      <c r="EO22" s="55"/>
      <c r="EP22" s="55"/>
      <c r="EQ22" s="55"/>
      <c r="ER22" s="55"/>
      <c r="ES22" s="55"/>
      <c r="ET22" s="55"/>
      <c r="EU22" s="55"/>
      <c r="EV22" s="55"/>
      <c r="EW22" s="55"/>
      <c r="EX22" s="55"/>
      <c r="EY22" s="55"/>
      <c r="EZ22" s="55"/>
      <c r="FA22" s="55"/>
      <c r="FB22" s="55"/>
      <c r="FC22" s="55"/>
      <c r="FD22" s="55"/>
      <c r="FE22" s="55"/>
      <c r="FF22" s="55"/>
      <c r="FG22" s="55"/>
      <c r="FH22" s="55"/>
      <c r="FI22" s="55"/>
      <c r="FJ22" s="55"/>
      <c r="FK22" s="55"/>
      <c r="FL22" s="55"/>
      <c r="FM22" s="55"/>
      <c r="FN22" s="55"/>
      <c r="FO22" s="55"/>
      <c r="FP22" s="55"/>
      <c r="FQ22" s="55"/>
      <c r="FR22" s="55"/>
      <c r="FS22" s="55"/>
      <c r="FT22" s="55"/>
      <c r="FU22" s="55"/>
      <c r="FV22" s="55"/>
      <c r="FW22" s="55"/>
      <c r="FX22" s="55"/>
      <c r="FY22" s="55"/>
      <c r="FZ22" s="55"/>
      <c r="GA22" s="55"/>
      <c r="GB22" s="55"/>
      <c r="GC22" s="55"/>
      <c r="GD22" s="55"/>
      <c r="GE22" s="55"/>
      <c r="GF22" s="55"/>
      <c r="GG22" s="55"/>
      <c r="GH22" s="55"/>
      <c r="GI22" s="55"/>
      <c r="GJ22" s="55"/>
      <c r="GK22" s="55"/>
      <c r="GL22" s="55"/>
      <c r="GM22" s="55"/>
      <c r="GN22" s="55"/>
      <c r="GO22" s="55"/>
      <c r="GP22" s="55"/>
      <c r="GQ22" s="55"/>
      <c r="GR22" s="55"/>
      <c r="GS22" s="55"/>
      <c r="GT22" s="55"/>
      <c r="GU22" s="55"/>
      <c r="GV22" s="55"/>
      <c r="GW22" s="55"/>
      <c r="GX22" s="55"/>
      <c r="GY22" s="55"/>
      <c r="GZ22" s="55"/>
      <c r="HA22" s="55"/>
      <c r="HB22" s="55"/>
      <c r="HC22" s="55"/>
      <c r="HD22" s="55"/>
      <c r="HE22" s="55"/>
      <c r="HF22" s="55"/>
      <c r="HG22" s="55"/>
      <c r="HH22" s="55"/>
      <c r="HI22" s="55"/>
      <c r="HJ22" s="55"/>
      <c r="HK22" s="55"/>
      <c r="HL22" s="55"/>
      <c r="HM22" s="55"/>
      <c r="HN22" s="55"/>
      <c r="HO22" s="55"/>
      <c r="HP22" s="55"/>
      <c r="HQ22" s="55"/>
      <c r="HR22" s="55"/>
      <c r="HS22" s="55"/>
      <c r="HT22" s="55"/>
      <c r="HU22" s="55"/>
      <c r="HV22" s="55"/>
      <c r="HW22" s="55"/>
      <c r="HX22" s="55"/>
      <c r="HY22" s="55"/>
      <c r="HZ22" s="55"/>
      <c r="IA22" s="55"/>
      <c r="IB22" s="55"/>
      <c r="IC22" s="55"/>
      <c r="ID22" s="55"/>
      <c r="IE22" s="55"/>
      <c r="IF22" s="55"/>
      <c r="IG22" s="55"/>
      <c r="IH22" s="55"/>
      <c r="II22" s="55"/>
      <c r="IJ22" s="55"/>
      <c r="IK22" s="55"/>
      <c r="IL22" s="55"/>
      <c r="IM22" s="55"/>
      <c r="IN22" s="55"/>
      <c r="IO22" s="55"/>
      <c r="IP22" s="55"/>
      <c r="IQ22" s="55"/>
      <c r="IR22" s="55"/>
      <c r="IS22" s="55"/>
      <c r="IT22" s="55"/>
      <c r="IU22" s="55"/>
      <c r="IV22" s="55"/>
      <c r="IW22" s="55"/>
      <c r="IX22" s="55"/>
      <c r="IY22" s="55"/>
      <c r="IZ22" s="55"/>
      <c r="JA22" s="55"/>
      <c r="JB22" s="55"/>
      <c r="JC22" s="55"/>
      <c r="JD22" s="55"/>
      <c r="JE22" s="55"/>
      <c r="JF22" s="55"/>
      <c r="JG22" s="55"/>
      <c r="JH22" s="55"/>
      <c r="JI22" s="55"/>
      <c r="JJ22" s="55"/>
      <c r="JK22" s="55"/>
      <c r="JL22" s="55"/>
      <c r="JM22" s="55"/>
      <c r="JN22" s="55"/>
      <c r="JO22" s="55"/>
      <c r="JP22" s="55"/>
      <c r="JQ22" s="55"/>
      <c r="JR22" s="55"/>
      <c r="JS22" s="55"/>
      <c r="JT22" s="55"/>
      <c r="JU22" s="55"/>
      <c r="JV22" s="55"/>
      <c r="JW22" s="55"/>
      <c r="JX22" s="55"/>
      <c r="JY22" s="55"/>
      <c r="JZ22" s="55"/>
      <c r="KA22" s="55"/>
      <c r="KB22" s="55"/>
      <c r="KC22" s="55"/>
      <c r="KD22" s="55"/>
      <c r="KE22" s="55"/>
      <c r="KF22" s="55"/>
      <c r="KG22" s="55"/>
      <c r="KH22" s="55"/>
      <c r="KI22" s="55"/>
      <c r="KJ22" s="55"/>
      <c r="KK22" s="55"/>
      <c r="KL22" s="55"/>
      <c r="KM22" s="55"/>
      <c r="KN22" s="55"/>
      <c r="KO22" s="55"/>
      <c r="KP22" s="55"/>
      <c r="KQ22" s="55"/>
      <c r="KR22" s="55"/>
      <c r="KS22" s="55"/>
      <c r="KT22" s="55"/>
      <c r="KU22" s="55"/>
      <c r="KV22" s="55"/>
      <c r="KW22" s="55"/>
      <c r="KX22" s="55"/>
      <c r="KY22" s="55"/>
      <c r="KZ22" s="55"/>
      <c r="LA22" s="55"/>
      <c r="LB22" s="55"/>
      <c r="LC22" s="55"/>
      <c r="LD22" s="55"/>
      <c r="LE22" s="55"/>
      <c r="LF22" s="55"/>
      <c r="LG22" s="55"/>
      <c r="LH22" s="55"/>
      <c r="LI22" s="55"/>
      <c r="LJ22" s="55"/>
      <c r="LK22" s="55"/>
      <c r="LL22" s="55"/>
      <c r="LM22" s="55"/>
      <c r="LN22" s="55"/>
      <c r="LO22" s="55"/>
      <c r="LP22" s="55"/>
      <c r="LQ22" s="55"/>
      <c r="LR22" s="55"/>
      <c r="LS22" s="55"/>
      <c r="LT22" s="55"/>
      <c r="LU22" s="55"/>
      <c r="LV22" s="55"/>
      <c r="LW22" s="55"/>
      <c r="LX22" s="55"/>
      <c r="LY22" s="55"/>
      <c r="LZ22" s="55"/>
      <c r="MA22" s="55"/>
      <c r="MB22" s="55"/>
      <c r="MC22" s="55"/>
      <c r="MD22" s="55"/>
      <c r="ME22" s="59"/>
      <c r="MF22" s="55"/>
      <c r="MG22" s="55"/>
      <c r="MH22" s="55"/>
      <c r="MI22" s="55"/>
      <c r="MJ22" s="55"/>
      <c r="MK22" s="55"/>
      <c r="ML22" s="55"/>
      <c r="MM22" s="55"/>
      <c r="MN22" s="55"/>
      <c r="MO22" s="55"/>
      <c r="MP22" s="55"/>
      <c r="MQ22" s="55"/>
      <c r="MR22" s="55"/>
      <c r="MS22" s="55"/>
      <c r="MT22" s="55"/>
      <c r="MU22" s="55"/>
      <c r="MV22" s="55"/>
      <c r="MW22" s="55"/>
      <c r="MX22" s="55"/>
      <c r="MY22" s="55"/>
      <c r="MZ22" s="55"/>
      <c r="NA22" s="55"/>
      <c r="NB22" s="55"/>
      <c r="NC22" s="55"/>
      <c r="ND22" s="55"/>
      <c r="NE22" s="55"/>
      <c r="NF22" s="55"/>
      <c r="NG22" s="55"/>
      <c r="NH22" s="55"/>
      <c r="NI22" s="55"/>
      <c r="NJ22" s="2"/>
      <c r="NK22" s="15" cm="1">
        <f t="array" aca="1" ref="NK22" ca="1">SUMPRODUCT((OFFSET($B22,0,31*($B$5-1)+1,1,31)&lt;&gt;"")*(IF(OFFSET($B22,0,31*($B$5-1)+1,1,31)=$NY$12,0.5,IF(OFFSET($B22,0,31*($B$5-1)+1,1,31)=$NY$13,0.5,1))*(OFFSET($B$6,0,31*($B$5-1)+1,1,31))))</f>
        <v>0</v>
      </c>
      <c r="NL22" s="19" cm="1">
        <f t="array" aca="1" ref="NL22" ca="1">SUMPRODUCT((OFFSET($B22,0,1,1,372)&lt;&gt;"")*(IF(OFFSET($B22,0,1,1,372)=$NY$12,0.5,IF(OFFSET($B22,0,1,1,372)=$NY$13,0.5,1))*(OFFSET($B$5,0,1,1,372))))</f>
        <v>0</v>
      </c>
      <c r="NM22" s="38">
        <f t="shared" ca="1" si="7"/>
        <v>0</v>
      </c>
      <c r="NN22" s="38">
        <f t="shared" ca="1" si="7"/>
        <v>0</v>
      </c>
      <c r="NO22" s="38">
        <f t="shared" ca="1" si="7"/>
        <v>0</v>
      </c>
      <c r="NP22" s="38">
        <f t="shared" ca="1" si="7"/>
        <v>0</v>
      </c>
      <c r="NQ22" s="38">
        <f t="shared" ca="1" si="7"/>
        <v>0</v>
      </c>
      <c r="NR22" s="38">
        <f t="shared" ref="NR22:NR45" ca="1" si="11">SUMPRODUCT((OFFSET($B22,0,1,1,372)&lt;&gt;"")*(OFFSET($B$5,0,1,1,372))*((OFFSET($B22,0,1,1,372))=NR$7))</f>
        <v>0</v>
      </c>
      <c r="NS22" s="38">
        <f t="shared" ca="1" si="8"/>
        <v>0</v>
      </c>
    </row>
    <row r="23" spans="1:390" x14ac:dyDescent="0.35">
      <c r="A23" s="52"/>
      <c r="B23" s="30" t="s">
        <v>74</v>
      </c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55"/>
      <c r="CO23" s="55"/>
      <c r="CP23" s="55"/>
      <c r="CQ23" s="55"/>
      <c r="CR23" s="55"/>
      <c r="CS23" s="55"/>
      <c r="CT23" s="55"/>
      <c r="CU23" s="55"/>
      <c r="CV23" s="55"/>
      <c r="CW23" s="55"/>
      <c r="CX23" s="55"/>
      <c r="CY23" s="55"/>
      <c r="CZ23" s="55"/>
      <c r="DA23" s="55"/>
      <c r="DB23" s="55"/>
      <c r="DC23" s="55"/>
      <c r="DD23" s="55"/>
      <c r="DE23" s="55"/>
      <c r="DF23" s="55"/>
      <c r="DG23" s="55"/>
      <c r="DH23" s="55"/>
      <c r="DI23" s="55"/>
      <c r="DJ23" s="55"/>
      <c r="DK23" s="55"/>
      <c r="DL23" s="55"/>
      <c r="DM23" s="55"/>
      <c r="DN23" s="55"/>
      <c r="DO23" s="55"/>
      <c r="DP23" s="55"/>
      <c r="DQ23" s="55"/>
      <c r="DR23" s="55"/>
      <c r="DS23" s="55"/>
      <c r="DT23" s="55"/>
      <c r="DU23" s="55"/>
      <c r="DV23" s="55"/>
      <c r="DW23" s="55"/>
      <c r="DX23" s="55"/>
      <c r="DY23" s="55"/>
      <c r="DZ23" s="55"/>
      <c r="EA23" s="55"/>
      <c r="EB23" s="55"/>
      <c r="EC23" s="55"/>
      <c r="ED23" s="55"/>
      <c r="EE23" s="55"/>
      <c r="EF23" s="55"/>
      <c r="EG23" s="55"/>
      <c r="EH23" s="55"/>
      <c r="EI23" s="55"/>
      <c r="EJ23" s="55"/>
      <c r="EK23" s="55"/>
      <c r="EL23" s="55"/>
      <c r="EM23" s="55"/>
      <c r="EN23" s="55"/>
      <c r="EO23" s="55"/>
      <c r="EP23" s="55"/>
      <c r="EQ23" s="55"/>
      <c r="ER23" s="55"/>
      <c r="ES23" s="55"/>
      <c r="ET23" s="55"/>
      <c r="EU23" s="55"/>
      <c r="EV23" s="55"/>
      <c r="EW23" s="55"/>
      <c r="EX23" s="55"/>
      <c r="EY23" s="55"/>
      <c r="EZ23" s="55"/>
      <c r="FA23" s="55"/>
      <c r="FB23" s="55"/>
      <c r="FC23" s="55"/>
      <c r="FD23" s="55"/>
      <c r="FE23" s="55"/>
      <c r="FF23" s="55"/>
      <c r="FG23" s="55"/>
      <c r="FH23" s="55"/>
      <c r="FI23" s="55"/>
      <c r="FJ23" s="55"/>
      <c r="FK23" s="55"/>
      <c r="FL23" s="55"/>
      <c r="FM23" s="55"/>
      <c r="FN23" s="55"/>
      <c r="FO23" s="55"/>
      <c r="FP23" s="55"/>
      <c r="FQ23" s="55"/>
      <c r="FR23" s="55"/>
      <c r="FS23" s="55"/>
      <c r="FT23" s="55"/>
      <c r="FU23" s="55"/>
      <c r="FV23" s="55"/>
      <c r="FW23" s="55"/>
      <c r="FX23" s="55"/>
      <c r="FY23" s="55"/>
      <c r="FZ23" s="55"/>
      <c r="GA23" s="55"/>
      <c r="GB23" s="55"/>
      <c r="GC23" s="55"/>
      <c r="GD23" s="55"/>
      <c r="GE23" s="55"/>
      <c r="GF23" s="55"/>
      <c r="GG23" s="55"/>
      <c r="GH23" s="55"/>
      <c r="GI23" s="55"/>
      <c r="GJ23" s="55"/>
      <c r="GK23" s="55"/>
      <c r="GL23" s="55"/>
      <c r="GM23" s="55"/>
      <c r="GN23" s="55"/>
      <c r="GO23" s="55"/>
      <c r="GP23" s="55"/>
      <c r="GQ23" s="55"/>
      <c r="GR23" s="55"/>
      <c r="GS23" s="55"/>
      <c r="GT23" s="55"/>
      <c r="GU23" s="55"/>
      <c r="GV23" s="55"/>
      <c r="GW23" s="55"/>
      <c r="GX23" s="55"/>
      <c r="GY23" s="55"/>
      <c r="GZ23" s="55"/>
      <c r="HA23" s="55"/>
      <c r="HB23" s="55"/>
      <c r="HC23" s="55"/>
      <c r="HD23" s="55"/>
      <c r="HE23" s="55"/>
      <c r="HF23" s="55"/>
      <c r="HG23" s="55"/>
      <c r="HH23" s="55"/>
      <c r="HI23" s="55"/>
      <c r="HJ23" s="55"/>
      <c r="HK23" s="55"/>
      <c r="HL23" s="55"/>
      <c r="HM23" s="55"/>
      <c r="HN23" s="55"/>
      <c r="HO23" s="55"/>
      <c r="HP23" s="55"/>
      <c r="HQ23" s="55"/>
      <c r="HR23" s="55"/>
      <c r="HS23" s="55"/>
      <c r="HT23" s="55"/>
      <c r="HU23" s="55"/>
      <c r="HV23" s="55"/>
      <c r="HW23" s="55"/>
      <c r="HX23" s="55"/>
      <c r="HY23" s="55"/>
      <c r="HZ23" s="55"/>
      <c r="IA23" s="55"/>
      <c r="IB23" s="55"/>
      <c r="IC23" s="55"/>
      <c r="ID23" s="55"/>
      <c r="IE23" s="55"/>
      <c r="IF23" s="55"/>
      <c r="IG23" s="55"/>
      <c r="IH23" s="55"/>
      <c r="II23" s="55"/>
      <c r="IJ23" s="55"/>
      <c r="IK23" s="55"/>
      <c r="IL23" s="55"/>
      <c r="IM23" s="55"/>
      <c r="IN23" s="55"/>
      <c r="IO23" s="55"/>
      <c r="IP23" s="55"/>
      <c r="IQ23" s="55"/>
      <c r="IR23" s="55"/>
      <c r="IS23" s="55"/>
      <c r="IT23" s="55"/>
      <c r="IU23" s="55"/>
      <c r="IV23" s="55"/>
      <c r="IW23" s="55"/>
      <c r="IX23" s="55"/>
      <c r="IY23" s="55"/>
      <c r="IZ23" s="55"/>
      <c r="JA23" s="55"/>
      <c r="JB23" s="55"/>
      <c r="JC23" s="55"/>
      <c r="JD23" s="55"/>
      <c r="JE23" s="55"/>
      <c r="JF23" s="55"/>
      <c r="JG23" s="55"/>
      <c r="JH23" s="55"/>
      <c r="JI23" s="55"/>
      <c r="JJ23" s="55"/>
      <c r="JK23" s="55"/>
      <c r="JL23" s="55"/>
      <c r="JM23" s="55"/>
      <c r="JN23" s="55"/>
      <c r="JO23" s="55"/>
      <c r="JP23" s="55"/>
      <c r="JQ23" s="55"/>
      <c r="JR23" s="55"/>
      <c r="JS23" s="55"/>
      <c r="JT23" s="55"/>
      <c r="JU23" s="55"/>
      <c r="JV23" s="55"/>
      <c r="JW23" s="55"/>
      <c r="JX23" s="55"/>
      <c r="JY23" s="55"/>
      <c r="JZ23" s="55"/>
      <c r="KA23" s="55"/>
      <c r="KB23" s="55"/>
      <c r="KC23" s="55"/>
      <c r="KD23" s="55"/>
      <c r="KE23" s="55"/>
      <c r="KF23" s="55"/>
      <c r="KG23" s="55"/>
      <c r="KH23" s="55"/>
      <c r="KI23" s="55"/>
      <c r="KJ23" s="55"/>
      <c r="KK23" s="55"/>
      <c r="KL23" s="55"/>
      <c r="KM23" s="55"/>
      <c r="KN23" s="55"/>
      <c r="KO23" s="55"/>
      <c r="KP23" s="55"/>
      <c r="KQ23" s="55"/>
      <c r="KR23" s="55"/>
      <c r="KS23" s="55"/>
      <c r="KT23" s="55"/>
      <c r="KU23" s="55"/>
      <c r="KV23" s="55"/>
      <c r="KW23" s="55"/>
      <c r="KX23" s="55"/>
      <c r="KY23" s="55"/>
      <c r="KZ23" s="55"/>
      <c r="LA23" s="55"/>
      <c r="LB23" s="55"/>
      <c r="LC23" s="55"/>
      <c r="LD23" s="55"/>
      <c r="LE23" s="55"/>
      <c r="LF23" s="55"/>
      <c r="LG23" s="55"/>
      <c r="LH23" s="55"/>
      <c r="LI23" s="55"/>
      <c r="LJ23" s="55"/>
      <c r="LK23" s="55"/>
      <c r="LL23" s="55"/>
      <c r="LM23" s="55"/>
      <c r="LN23" s="55"/>
      <c r="LO23" s="55"/>
      <c r="LP23" s="55"/>
      <c r="LQ23" s="55"/>
      <c r="LR23" s="55"/>
      <c r="LS23" s="55"/>
      <c r="LT23" s="55"/>
      <c r="LU23" s="55"/>
      <c r="LV23" s="55"/>
      <c r="LW23" s="55"/>
      <c r="LX23" s="55"/>
      <c r="LY23" s="55"/>
      <c r="LZ23" s="55"/>
      <c r="MA23" s="55"/>
      <c r="MB23" s="55"/>
      <c r="MC23" s="55"/>
      <c r="MD23" s="55"/>
      <c r="ME23" s="59"/>
      <c r="MF23" s="55"/>
      <c r="MG23" s="55"/>
      <c r="MH23" s="55"/>
      <c r="MI23" s="55"/>
      <c r="MJ23" s="55"/>
      <c r="MK23" s="55"/>
      <c r="ML23" s="55"/>
      <c r="MM23" s="55"/>
      <c r="MN23" s="55"/>
      <c r="MO23" s="55"/>
      <c r="MP23" s="55"/>
      <c r="MQ23" s="55"/>
      <c r="MR23" s="55"/>
      <c r="MS23" s="55"/>
      <c r="MT23" s="55"/>
      <c r="MU23" s="55"/>
      <c r="MV23" s="55"/>
      <c r="MW23" s="55"/>
      <c r="MX23" s="55"/>
      <c r="MY23" s="55"/>
      <c r="MZ23" s="55"/>
      <c r="NA23" s="55"/>
      <c r="NB23" s="55"/>
      <c r="NC23" s="55"/>
      <c r="ND23" s="55"/>
      <c r="NE23" s="55"/>
      <c r="NF23" s="55"/>
      <c r="NG23" s="55"/>
      <c r="NH23" s="55"/>
      <c r="NI23" s="55"/>
      <c r="NJ23" s="2"/>
      <c r="NK23" s="15" cm="1">
        <f t="array" aca="1" ref="NK23" ca="1">SUMPRODUCT((OFFSET($B23,0,31*($B$5-1)+1,1,31)&lt;&gt;"")*(IF(OFFSET($B23,0,31*($B$5-1)+1,1,31)=$NY$12,0.5,IF(OFFSET($B23,0,31*($B$5-1)+1,1,31)=$NY$13,0.5,1))*(OFFSET($B$6,0,31*($B$5-1)+1,1,31))))</f>
        <v>0</v>
      </c>
      <c r="NL23" s="19" cm="1">
        <f t="array" aca="1" ref="NL23" ca="1">SUMPRODUCT((OFFSET($B23,0,1,1,372)&lt;&gt;"")*(IF(OFFSET($B23,0,1,1,372)=$NY$12,0.5,IF(OFFSET($B23,0,1,1,372)=$NY$13,0.5,1))*(OFFSET($B$5,0,1,1,372))))</f>
        <v>0</v>
      </c>
      <c r="NM23" s="38">
        <f t="shared" ca="1" si="7"/>
        <v>0</v>
      </c>
      <c r="NN23" s="38">
        <f t="shared" ca="1" si="7"/>
        <v>0</v>
      </c>
      <c r="NO23" s="38">
        <f t="shared" ca="1" si="7"/>
        <v>0</v>
      </c>
      <c r="NP23" s="38">
        <f t="shared" ca="1" si="7"/>
        <v>0</v>
      </c>
      <c r="NQ23" s="38">
        <f t="shared" ca="1" si="7"/>
        <v>0</v>
      </c>
      <c r="NR23" s="38">
        <f t="shared" ca="1" si="11"/>
        <v>0</v>
      </c>
      <c r="NS23" s="38">
        <f t="shared" ca="1" si="8"/>
        <v>0</v>
      </c>
      <c r="NX23" s="69"/>
      <c r="NY23" s="69"/>
    </row>
    <row r="24" spans="1:390" x14ac:dyDescent="0.35">
      <c r="B24" s="63" t="s">
        <v>64</v>
      </c>
      <c r="C24" s="2"/>
      <c r="D24" s="37"/>
      <c r="E24" s="37"/>
      <c r="F24" s="37"/>
      <c r="G24" s="37"/>
      <c r="H24" s="37"/>
      <c r="I24" s="2"/>
      <c r="J24" s="2"/>
      <c r="K24" s="37"/>
      <c r="L24" s="37"/>
      <c r="M24" s="37"/>
      <c r="N24" s="37"/>
      <c r="O24" s="37"/>
      <c r="P24" s="2"/>
      <c r="Q24" s="2"/>
      <c r="R24" s="37"/>
      <c r="S24" s="37"/>
      <c r="T24" s="37"/>
      <c r="U24" s="37"/>
      <c r="V24" s="37"/>
      <c r="W24" s="2"/>
      <c r="X24" s="2"/>
      <c r="Y24" s="37"/>
      <c r="Z24" s="37"/>
      <c r="AA24" s="37"/>
      <c r="AB24" s="37"/>
      <c r="AC24" s="37"/>
      <c r="AD24" s="2"/>
      <c r="AE24" s="2"/>
      <c r="AF24" s="37"/>
      <c r="AG24" s="37"/>
      <c r="AH24" s="37"/>
      <c r="AI24" s="37"/>
      <c r="AJ24" s="37"/>
      <c r="AK24" s="2"/>
      <c r="AL24" s="2"/>
      <c r="AM24" s="37"/>
      <c r="AN24" s="37"/>
      <c r="AO24" s="37"/>
      <c r="AP24" s="37"/>
      <c r="AQ24" s="37"/>
      <c r="AR24" s="2"/>
      <c r="AS24" s="2"/>
      <c r="AT24" s="37"/>
      <c r="AU24" s="37"/>
      <c r="AV24" s="37"/>
      <c r="AW24" s="37"/>
      <c r="AX24" s="37"/>
      <c r="AY24" s="2"/>
      <c r="AZ24" s="2"/>
      <c r="BA24" s="2"/>
      <c r="BB24" s="37"/>
      <c r="BC24" s="37"/>
      <c r="BD24" s="37"/>
      <c r="BE24" s="37"/>
      <c r="BF24" s="2"/>
      <c r="BG24" s="2"/>
      <c r="BH24" s="37"/>
      <c r="BI24" s="37"/>
      <c r="BJ24" s="37"/>
      <c r="BK24" s="37"/>
      <c r="BL24" s="37"/>
      <c r="BM24" s="37"/>
      <c r="BN24" s="37"/>
      <c r="BO24" s="37"/>
      <c r="BP24" s="2"/>
      <c r="BQ24" s="2"/>
      <c r="BR24" s="37"/>
      <c r="BS24" s="37"/>
      <c r="BT24" s="37"/>
      <c r="BU24" s="37"/>
      <c r="BV24" s="37"/>
      <c r="BW24" s="2"/>
      <c r="BX24" s="2"/>
      <c r="BY24" s="37"/>
      <c r="BZ24" s="37"/>
      <c r="CA24" s="37"/>
      <c r="CB24" s="37"/>
      <c r="CC24" s="37"/>
      <c r="CD24" s="2"/>
      <c r="CE24" s="2"/>
      <c r="CF24" s="37"/>
      <c r="CG24" s="37"/>
      <c r="CH24" s="37"/>
      <c r="CI24" s="37"/>
      <c r="CJ24" s="37"/>
      <c r="CK24" s="2"/>
      <c r="CL24" s="2"/>
      <c r="CM24" s="37"/>
      <c r="CN24" s="37"/>
      <c r="CO24" s="37"/>
      <c r="CP24" s="37"/>
      <c r="CQ24" s="37"/>
      <c r="CR24" s="2"/>
      <c r="CS24" s="2"/>
      <c r="CT24" s="37"/>
      <c r="CU24" s="37"/>
      <c r="CV24" s="37"/>
      <c r="CW24" s="37"/>
      <c r="CX24" s="37"/>
      <c r="CY24" s="2"/>
      <c r="CZ24" s="2"/>
      <c r="DA24" s="37"/>
      <c r="DB24" s="37"/>
      <c r="DC24" s="37"/>
      <c r="DD24" s="37"/>
      <c r="DE24" s="37"/>
      <c r="DF24" s="2"/>
      <c r="DG24" s="2"/>
      <c r="DH24" s="37"/>
      <c r="DI24" s="37"/>
      <c r="DJ24" s="37"/>
      <c r="DK24" s="37"/>
      <c r="DL24" s="37"/>
      <c r="DM24" s="2"/>
      <c r="DN24" s="2"/>
      <c r="DO24" s="37"/>
      <c r="DP24" s="37"/>
      <c r="DQ24" s="37"/>
      <c r="DR24" s="37"/>
      <c r="DS24" s="37"/>
      <c r="DT24" s="2"/>
      <c r="DU24" s="37"/>
      <c r="DV24" s="2"/>
      <c r="DW24" s="37"/>
      <c r="DX24" s="37"/>
      <c r="DY24" s="37"/>
      <c r="DZ24" s="37"/>
      <c r="EA24" s="37"/>
      <c r="EB24" s="2"/>
      <c r="EC24" s="2"/>
      <c r="ED24" s="37"/>
      <c r="EE24" s="37"/>
      <c r="EF24" s="37"/>
      <c r="EG24" s="37"/>
      <c r="EH24" s="37"/>
      <c r="EI24" s="2"/>
      <c r="EJ24" s="2"/>
      <c r="EK24" s="37"/>
      <c r="EL24" s="37"/>
      <c r="EM24" s="37"/>
      <c r="EN24" s="37"/>
      <c r="EO24" s="37"/>
      <c r="EP24" s="2"/>
      <c r="EQ24" s="2"/>
      <c r="ER24" s="37"/>
      <c r="ES24" s="37"/>
      <c r="ET24" s="37"/>
      <c r="EU24" s="37"/>
      <c r="EV24" s="37"/>
      <c r="EW24" s="2"/>
      <c r="EX24" s="2"/>
      <c r="EY24" s="37"/>
      <c r="EZ24" s="37"/>
      <c r="FA24" s="37"/>
      <c r="FB24" s="37"/>
      <c r="FC24" s="37"/>
      <c r="FD24" s="2"/>
      <c r="FE24" s="2"/>
      <c r="FF24" s="37"/>
      <c r="FG24" s="37"/>
      <c r="FH24" s="37"/>
      <c r="FI24" s="37"/>
      <c r="FJ24" s="37"/>
      <c r="FK24" s="2"/>
      <c r="FL24" s="2"/>
      <c r="FM24" s="37"/>
      <c r="FN24" s="37"/>
      <c r="FO24" s="37"/>
      <c r="FP24" s="37"/>
      <c r="FQ24" s="37"/>
      <c r="FR24" s="2"/>
      <c r="FS24" s="2"/>
      <c r="FT24" s="37"/>
      <c r="FU24" s="37"/>
      <c r="FV24" s="37"/>
      <c r="FW24" s="37"/>
      <c r="FX24" s="37"/>
      <c r="FY24" s="2"/>
      <c r="FZ24" s="2"/>
      <c r="GA24" s="37"/>
      <c r="GB24" s="37"/>
      <c r="GC24" s="37"/>
      <c r="GD24" s="37"/>
      <c r="GE24" s="37"/>
      <c r="GF24" s="2"/>
      <c r="GG24" s="2"/>
      <c r="GH24" s="2"/>
      <c r="GI24" s="37"/>
      <c r="GJ24" s="37"/>
      <c r="GK24" s="37"/>
      <c r="GL24" s="37"/>
      <c r="GM24" s="37"/>
      <c r="GN24" s="2"/>
      <c r="GO24" s="2"/>
      <c r="GP24" s="37"/>
      <c r="GQ24" s="37"/>
      <c r="GR24" s="37"/>
      <c r="GS24" s="37"/>
      <c r="GT24" s="37"/>
      <c r="GU24" s="2"/>
      <c r="GV24" s="2"/>
      <c r="GW24" s="37"/>
      <c r="GX24" s="37"/>
      <c r="GY24" s="37"/>
      <c r="GZ24" s="37"/>
      <c r="HA24" s="37"/>
      <c r="HB24" s="2"/>
      <c r="HC24" s="2"/>
      <c r="HD24" s="37"/>
      <c r="HE24" s="37"/>
      <c r="HF24" s="37"/>
      <c r="HG24" s="37"/>
      <c r="HH24" s="37"/>
      <c r="HI24" s="2"/>
      <c r="HJ24" s="2"/>
      <c r="HK24" s="2"/>
      <c r="HL24" s="37"/>
      <c r="HM24" s="37"/>
      <c r="HN24" s="37"/>
      <c r="HO24" s="37"/>
      <c r="HP24" s="2"/>
      <c r="HQ24" s="2"/>
      <c r="HR24" s="37"/>
      <c r="HS24" s="37"/>
      <c r="HT24" s="37"/>
      <c r="HU24" s="37"/>
      <c r="HV24" s="37"/>
      <c r="HW24" s="2"/>
      <c r="HX24" s="2"/>
      <c r="HY24" s="37"/>
      <c r="HZ24" s="37"/>
      <c r="IA24" s="37"/>
      <c r="IB24" s="37"/>
      <c r="IC24" s="37"/>
      <c r="ID24" s="2"/>
      <c r="IE24" s="2"/>
      <c r="IF24" s="37"/>
      <c r="IG24" s="37"/>
      <c r="IH24" s="37"/>
      <c r="II24" s="37"/>
      <c r="IJ24" s="37"/>
      <c r="IK24" s="2"/>
      <c r="IL24" s="2"/>
      <c r="IM24" s="37"/>
      <c r="IN24" s="37"/>
      <c r="IO24" s="37"/>
      <c r="IP24" s="37"/>
      <c r="IQ24" s="37"/>
      <c r="IR24" s="2"/>
      <c r="IS24" s="2"/>
      <c r="IT24" s="2"/>
      <c r="IU24" s="37"/>
      <c r="IV24" s="37"/>
      <c r="IW24" s="37"/>
      <c r="IX24" s="37"/>
      <c r="IY24" s="2"/>
      <c r="IZ24" s="2"/>
      <c r="JA24" s="37"/>
      <c r="JB24" s="37"/>
      <c r="JC24" s="37"/>
      <c r="JD24" s="37"/>
      <c r="JE24" s="37"/>
      <c r="JF24" s="2"/>
      <c r="JG24" s="2"/>
      <c r="JH24" s="37"/>
      <c r="JI24" s="37"/>
      <c r="JJ24" s="37"/>
      <c r="JK24" s="37"/>
      <c r="JL24" s="37"/>
      <c r="JM24" s="2"/>
      <c r="JN24" s="2"/>
      <c r="JO24" s="37"/>
      <c r="JP24" s="37"/>
      <c r="JQ24" s="37"/>
      <c r="JR24" s="37"/>
      <c r="JS24" s="2"/>
      <c r="JT24" s="37"/>
      <c r="JU24" s="2"/>
      <c r="JV24" s="2"/>
      <c r="JW24" s="37"/>
      <c r="JX24" s="37"/>
      <c r="JY24" s="37"/>
      <c r="JZ24" s="37"/>
      <c r="KA24" s="37"/>
      <c r="KB24" s="2"/>
      <c r="KC24" s="2"/>
      <c r="KD24" s="2"/>
      <c r="KE24" s="37"/>
      <c r="KF24" s="37"/>
      <c r="KG24" s="37"/>
      <c r="KH24" s="37"/>
      <c r="KI24" s="2"/>
      <c r="KJ24" s="2"/>
      <c r="KK24" s="37"/>
      <c r="KL24" s="37"/>
      <c r="KM24" s="37"/>
      <c r="KN24" s="37"/>
      <c r="KO24" s="37"/>
      <c r="KP24" s="2"/>
      <c r="KQ24" s="2"/>
      <c r="KR24" s="37"/>
      <c r="KS24" s="37"/>
      <c r="KT24" s="37"/>
      <c r="KU24" s="37"/>
      <c r="KV24" s="37"/>
      <c r="KW24" s="2"/>
      <c r="KX24" s="2"/>
      <c r="KY24" s="37"/>
      <c r="KZ24" s="37"/>
      <c r="LA24" s="37"/>
      <c r="LB24" s="37"/>
      <c r="LC24" s="37"/>
      <c r="LD24" s="2"/>
      <c r="LE24" s="2"/>
      <c r="LF24" s="37"/>
      <c r="LG24" s="37"/>
      <c r="LH24" s="37"/>
      <c r="LI24" s="37"/>
      <c r="LJ24" s="2"/>
      <c r="LK24" s="2"/>
      <c r="LL24" s="2"/>
      <c r="LM24" s="37"/>
      <c r="LN24" s="37"/>
      <c r="LO24" s="37"/>
      <c r="LP24" s="37"/>
      <c r="LQ24" s="37"/>
      <c r="LR24" s="2"/>
      <c r="LS24" s="2"/>
      <c r="LT24" s="37"/>
      <c r="LU24" s="37"/>
      <c r="LV24" s="37"/>
      <c r="LW24" s="37"/>
      <c r="LX24" s="37"/>
      <c r="LY24" s="2"/>
      <c r="LZ24" s="2"/>
      <c r="MA24" s="37"/>
      <c r="MB24" s="37"/>
      <c r="MC24" s="37"/>
      <c r="MD24" s="37"/>
      <c r="ME24" s="37"/>
      <c r="MF24" s="37"/>
      <c r="MG24" s="2"/>
      <c r="MH24" s="2"/>
      <c r="MI24" s="37"/>
      <c r="MJ24" s="37"/>
      <c r="MK24" s="37"/>
      <c r="ML24" s="37"/>
      <c r="MM24" s="37"/>
      <c r="MN24" s="2"/>
      <c r="MO24" s="2"/>
      <c r="MP24" s="37"/>
      <c r="MQ24" s="37"/>
      <c r="MR24" s="37"/>
      <c r="MS24" s="37"/>
      <c r="MT24" s="37"/>
      <c r="MU24" s="2"/>
      <c r="MV24" s="2"/>
      <c r="MW24" s="37"/>
      <c r="MX24" s="37"/>
      <c r="MY24" s="37"/>
      <c r="MZ24" s="37"/>
      <c r="NA24" s="37"/>
      <c r="NB24" s="2"/>
      <c r="NC24" s="2"/>
      <c r="ND24" s="2"/>
      <c r="NE24" s="37"/>
      <c r="NF24" s="37"/>
      <c r="NG24" s="37"/>
      <c r="NH24" s="37"/>
      <c r="NI24" s="2"/>
      <c r="NJ24" s="2"/>
      <c r="NK24" s="15" cm="1">
        <f t="array" aca="1" ref="NK24" ca="1">SUMPRODUCT((OFFSET($B24,0,31*($B$5-1)+1,1,31)&lt;&gt;"")*(IF(OFFSET($B24,0,31*($B$5-1)+1,1,31)=$NY$12,0.5,IF(OFFSET($B24,0,31*($B$5-1)+1,1,31)=$NY$13,0.5,1))*(OFFSET($B$6,0,31*($B$5-1)+1,1,31))))</f>
        <v>0</v>
      </c>
      <c r="NL24" s="19" cm="1">
        <f t="array" aca="1" ref="NL24" ca="1">SUMPRODUCT((OFFSET($B24,0,1,1,372)&lt;&gt;"")*(IF(OFFSET($B24,0,1,1,372)=$NY$12,0.5,IF(OFFSET($B24,0,1,1,372)=$NY$13,0.5,1))*(OFFSET($B$5,0,1,1,372))))</f>
        <v>0</v>
      </c>
      <c r="NM24" s="38">
        <f t="shared" ca="1" si="7"/>
        <v>0</v>
      </c>
      <c r="NN24" s="38">
        <f t="shared" ref="NN24:NQ24" ca="1" si="12">SUMPRODUCT((OFFSET($B24,0,1,1,372)&lt;&gt;"")*(OFFSET($B$5,0,1,1,372))*((OFFSET($B24,0,1,1,372))=NN$7))</f>
        <v>0</v>
      </c>
      <c r="NO24" s="38">
        <f t="shared" ca="1" si="12"/>
        <v>0</v>
      </c>
      <c r="NP24" s="38">
        <f t="shared" ca="1" si="12"/>
        <v>0</v>
      </c>
      <c r="NQ24" s="38">
        <f t="shared" ca="1" si="12"/>
        <v>0</v>
      </c>
      <c r="NR24" s="38">
        <f t="shared" ca="1" si="11"/>
        <v>0</v>
      </c>
      <c r="NS24" s="38">
        <f t="shared" ca="1" si="8"/>
        <v>0</v>
      </c>
      <c r="NX24" s="68" t="s">
        <v>29</v>
      </c>
      <c r="NY24" s="68"/>
    </row>
    <row r="25" spans="1:390" x14ac:dyDescent="0.35">
      <c r="A25" s="52"/>
      <c r="B25" s="53" t="s">
        <v>76</v>
      </c>
      <c r="C25" s="55"/>
      <c r="D25" s="55"/>
      <c r="E25" s="61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55"/>
      <c r="CO25" s="55"/>
      <c r="CP25" s="55"/>
      <c r="CQ25" s="55"/>
      <c r="CR25" s="55"/>
      <c r="CS25" s="55"/>
      <c r="CT25" s="55"/>
      <c r="CU25" s="55"/>
      <c r="CV25" s="55"/>
      <c r="CW25" s="55"/>
      <c r="CX25" s="55"/>
      <c r="CY25" s="55"/>
      <c r="CZ25" s="55"/>
      <c r="DA25" s="55"/>
      <c r="DB25" s="55"/>
      <c r="DC25" s="55"/>
      <c r="DD25" s="55"/>
      <c r="DE25" s="55"/>
      <c r="DF25" s="55"/>
      <c r="DG25" s="55"/>
      <c r="DH25" s="55"/>
      <c r="DI25" s="55"/>
      <c r="DJ25" s="55"/>
      <c r="DK25" s="55"/>
      <c r="DL25" s="55"/>
      <c r="DM25" s="55"/>
      <c r="DN25" s="55"/>
      <c r="DO25" s="55"/>
      <c r="DP25" s="55"/>
      <c r="DQ25" s="55"/>
      <c r="DR25" s="55"/>
      <c r="DS25" s="55"/>
      <c r="DT25" s="55"/>
      <c r="DU25" s="55"/>
      <c r="DV25" s="55"/>
      <c r="DW25" s="55"/>
      <c r="DX25" s="55"/>
      <c r="DY25" s="55"/>
      <c r="DZ25" s="55"/>
      <c r="EA25" s="55"/>
      <c r="EB25" s="55"/>
      <c r="EC25" s="55"/>
      <c r="ED25" s="55"/>
      <c r="EE25" s="55"/>
      <c r="EF25" s="55"/>
      <c r="EG25" s="55"/>
      <c r="EH25" s="55"/>
      <c r="EI25" s="55"/>
      <c r="EJ25" s="55"/>
      <c r="EK25" s="55"/>
      <c r="EL25" s="55"/>
      <c r="EM25" s="55"/>
      <c r="EN25" s="55"/>
      <c r="EO25" s="55"/>
      <c r="EP25" s="55"/>
      <c r="EQ25" s="55"/>
      <c r="ER25" s="55"/>
      <c r="ES25" s="55"/>
      <c r="ET25" s="55"/>
      <c r="EU25" s="55"/>
      <c r="EV25" s="55"/>
      <c r="EW25" s="55"/>
      <c r="EX25" s="55"/>
      <c r="EY25" s="55"/>
      <c r="EZ25" s="55"/>
      <c r="FA25" s="55"/>
      <c r="FB25" s="55"/>
      <c r="FC25" s="55"/>
      <c r="FD25" s="55"/>
      <c r="FE25" s="55"/>
      <c r="FF25" s="55"/>
      <c r="FG25" s="55"/>
      <c r="FH25" s="55"/>
      <c r="FI25" s="55"/>
      <c r="FJ25" s="55"/>
      <c r="FK25" s="55"/>
      <c r="FL25" s="55"/>
      <c r="FM25" s="55"/>
      <c r="FN25" s="55"/>
      <c r="FO25" s="55"/>
      <c r="FP25" s="55"/>
      <c r="FQ25" s="55"/>
      <c r="FR25" s="55"/>
      <c r="FS25" s="55"/>
      <c r="FT25" s="55"/>
      <c r="FU25" s="55"/>
      <c r="FV25" s="55"/>
      <c r="FW25" s="55"/>
      <c r="FX25" s="55"/>
      <c r="FY25" s="55"/>
      <c r="FZ25" s="55"/>
      <c r="GA25" s="55"/>
      <c r="GB25" s="55"/>
      <c r="GC25" s="55"/>
      <c r="GD25" s="55"/>
      <c r="GE25" s="55"/>
      <c r="GF25" s="55"/>
      <c r="GG25" s="55"/>
      <c r="GH25" s="55"/>
      <c r="GI25" s="55"/>
      <c r="GJ25" s="55"/>
      <c r="GK25" s="55"/>
      <c r="GL25" s="55"/>
      <c r="GM25" s="55"/>
      <c r="GN25" s="55"/>
      <c r="GO25" s="55"/>
      <c r="GP25" s="55"/>
      <c r="GQ25" s="55"/>
      <c r="GR25" s="55"/>
      <c r="GS25" s="55"/>
      <c r="GT25" s="55"/>
      <c r="GU25" s="55"/>
      <c r="GV25" s="55"/>
      <c r="GW25" s="55"/>
      <c r="GX25" s="55"/>
      <c r="GY25" s="55"/>
      <c r="GZ25" s="55"/>
      <c r="HA25" s="55"/>
      <c r="HB25" s="55"/>
      <c r="HC25" s="55"/>
      <c r="HD25" s="55"/>
      <c r="HE25" s="55"/>
      <c r="HF25" s="55"/>
      <c r="HG25" s="55"/>
      <c r="HH25" s="55"/>
      <c r="HI25" s="55"/>
      <c r="HJ25" s="55"/>
      <c r="HK25" s="55"/>
      <c r="HL25" s="55"/>
      <c r="HM25" s="55"/>
      <c r="HN25" s="55"/>
      <c r="HO25" s="55"/>
      <c r="HP25" s="55"/>
      <c r="HQ25" s="55"/>
      <c r="HR25" s="55"/>
      <c r="HS25" s="55"/>
      <c r="HT25" s="55"/>
      <c r="HU25" s="55"/>
      <c r="HV25" s="55"/>
      <c r="HW25" s="55"/>
      <c r="HX25" s="55"/>
      <c r="HY25" s="55"/>
      <c r="HZ25" s="55"/>
      <c r="IA25" s="55"/>
      <c r="IB25" s="55"/>
      <c r="IC25" s="55"/>
      <c r="ID25" s="55"/>
      <c r="IE25" s="55"/>
      <c r="IF25" s="55"/>
      <c r="IG25" s="55"/>
      <c r="IH25" s="55"/>
      <c r="II25" s="55"/>
      <c r="IJ25" s="55"/>
      <c r="IK25" s="55"/>
      <c r="IL25" s="55"/>
      <c r="IM25" s="55"/>
      <c r="IN25" s="55"/>
      <c r="IO25" s="55"/>
      <c r="IP25" s="55"/>
      <c r="IQ25" s="55"/>
      <c r="IR25" s="55"/>
      <c r="IS25" s="55"/>
      <c r="IT25" s="55"/>
      <c r="IU25" s="55"/>
      <c r="IV25" s="55"/>
      <c r="IW25" s="55"/>
      <c r="IX25" s="55"/>
      <c r="IY25" s="55"/>
      <c r="IZ25" s="55"/>
      <c r="JA25" s="55"/>
      <c r="JB25" s="55"/>
      <c r="JC25" s="55"/>
      <c r="JD25" s="55"/>
      <c r="JE25" s="55"/>
      <c r="JF25" s="55"/>
      <c r="JG25" s="55"/>
      <c r="JH25" s="55"/>
      <c r="JI25" s="55"/>
      <c r="JJ25" s="55"/>
      <c r="JK25" s="55"/>
      <c r="JL25" s="55"/>
      <c r="JM25" s="55"/>
      <c r="JN25" s="55"/>
      <c r="JO25" s="55"/>
      <c r="JP25" s="55"/>
      <c r="JQ25" s="55"/>
      <c r="JR25" s="55"/>
      <c r="JS25" s="55"/>
      <c r="JT25" s="55"/>
      <c r="JU25" s="55"/>
      <c r="JV25" s="55"/>
      <c r="JW25" s="55"/>
      <c r="JX25" s="55"/>
      <c r="JY25" s="55"/>
      <c r="JZ25" s="55"/>
      <c r="KA25" s="55"/>
      <c r="KB25" s="55"/>
      <c r="KC25" s="55"/>
      <c r="KD25" s="55"/>
      <c r="KE25" s="55"/>
      <c r="KF25" s="55"/>
      <c r="KG25" s="55"/>
      <c r="KH25" s="55"/>
      <c r="KI25" s="55"/>
      <c r="KJ25" s="55"/>
      <c r="KK25" s="55"/>
      <c r="KL25" s="55"/>
      <c r="KM25" s="55"/>
      <c r="KN25" s="55"/>
      <c r="KO25" s="55"/>
      <c r="KP25" s="55"/>
      <c r="KQ25" s="55"/>
      <c r="KR25" s="55"/>
      <c r="KS25" s="55"/>
      <c r="KT25" s="55"/>
      <c r="KU25" s="55"/>
      <c r="KV25" s="55"/>
      <c r="KW25" s="55"/>
      <c r="KX25" s="55"/>
      <c r="KY25" s="55"/>
      <c r="KZ25" s="55"/>
      <c r="LA25" s="55"/>
      <c r="LB25" s="55"/>
      <c r="LC25" s="55"/>
      <c r="LD25" s="55"/>
      <c r="LE25" s="55"/>
      <c r="LF25" s="55"/>
      <c r="LG25" s="55"/>
      <c r="LH25" s="55"/>
      <c r="LI25" s="55"/>
      <c r="LJ25" s="55"/>
      <c r="LK25" s="55"/>
      <c r="LL25" s="55"/>
      <c r="LM25" s="55"/>
      <c r="LN25" s="55"/>
      <c r="LO25" s="55"/>
      <c r="LP25" s="55"/>
      <c r="LQ25" s="55"/>
      <c r="LR25" s="55"/>
      <c r="LS25" s="55"/>
      <c r="LT25" s="55"/>
      <c r="LU25" s="55"/>
      <c r="LV25" s="55"/>
      <c r="LW25" s="55"/>
      <c r="LX25" s="55"/>
      <c r="LY25" s="55"/>
      <c r="LZ25" s="55"/>
      <c r="MA25" s="55"/>
      <c r="MB25" s="55"/>
      <c r="MC25" s="55"/>
      <c r="MD25" s="55"/>
      <c r="ME25" s="55"/>
      <c r="MF25" s="55"/>
      <c r="MG25" s="55"/>
      <c r="MH25" s="55"/>
      <c r="MI25" s="55"/>
      <c r="MJ25" s="55"/>
      <c r="MK25" s="55"/>
      <c r="ML25" s="55"/>
      <c r="MM25" s="55"/>
      <c r="MN25" s="55"/>
      <c r="MO25" s="55"/>
      <c r="MP25" s="55"/>
      <c r="MQ25" s="55"/>
      <c r="MR25" s="55"/>
      <c r="MS25" s="55"/>
      <c r="MT25" s="55"/>
      <c r="MU25" s="55"/>
      <c r="MV25" s="55"/>
      <c r="MW25" s="55"/>
      <c r="MX25" s="55"/>
      <c r="MY25" s="55"/>
      <c r="MZ25" s="55"/>
      <c r="NA25" s="55"/>
      <c r="NB25" s="55"/>
      <c r="NC25" s="55"/>
      <c r="ND25" s="55"/>
      <c r="NE25" s="55"/>
      <c r="NF25" s="55"/>
      <c r="NG25" s="55"/>
      <c r="NH25" s="55"/>
      <c r="NI25" s="55"/>
      <c r="NJ25" s="2"/>
      <c r="NK25" s="15" cm="1">
        <f t="array" aca="1" ref="NK25" ca="1">SUMPRODUCT((OFFSET($B25,0,31*($B$5-1)+1,1,31)&lt;&gt;"")*(IF(OFFSET($B25,0,31*($B$5-1)+1,1,31)=$NY$12,0.5,IF(OFFSET($B25,0,31*($B$5-1)+1,1,31)=$NY$13,0.5,1))*(OFFSET($B$6,0,31*($B$5-1)+1,1,31))))</f>
        <v>0</v>
      </c>
      <c r="NL25" s="19" cm="1">
        <f t="array" aca="1" ref="NL25" ca="1">SUMPRODUCT((OFFSET($B25,0,1,1,372)&lt;&gt;"")*(IF(OFFSET($B25,0,1,1,372)=$NY$12,0.5,IF(OFFSET($B25,0,1,1,372)=$NY$13,0.5,1))*(OFFSET($B$5,0,1,1,372))))</f>
        <v>0</v>
      </c>
      <c r="NM25" s="38">
        <f t="shared" ca="1" si="7"/>
        <v>0</v>
      </c>
      <c r="NN25" s="38">
        <f t="shared" ca="1" si="7"/>
        <v>0</v>
      </c>
      <c r="NO25" s="38">
        <f t="shared" ca="1" si="7"/>
        <v>0</v>
      </c>
      <c r="NP25" s="38">
        <f t="shared" ca="1" si="7"/>
        <v>0</v>
      </c>
      <c r="NQ25" s="38">
        <f t="shared" ca="1" si="7"/>
        <v>0</v>
      </c>
      <c r="NR25" s="38">
        <f t="shared" ca="1" si="11"/>
        <v>0</v>
      </c>
      <c r="NS25" s="38">
        <f t="shared" ca="1" si="8"/>
        <v>0</v>
      </c>
      <c r="NX25" s="17" t="s">
        <v>11</v>
      </c>
      <c r="NY25" s="17" t="s">
        <v>31</v>
      </c>
    </row>
    <row r="26" spans="1:390" x14ac:dyDescent="0.35">
      <c r="A26" s="52"/>
      <c r="B26" s="30" t="s">
        <v>74</v>
      </c>
      <c r="C26" s="55"/>
      <c r="D26" s="59"/>
      <c r="E26" s="59"/>
      <c r="F26" s="55"/>
      <c r="G26" s="59"/>
      <c r="H26" s="59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  <c r="LH26" s="55"/>
      <c r="LI26" s="55"/>
      <c r="LJ26" s="55"/>
      <c r="LK26" s="55"/>
      <c r="LL26" s="55"/>
      <c r="LM26" s="55"/>
      <c r="LN26" s="55"/>
      <c r="LO26" s="55"/>
      <c r="LP26" s="55"/>
      <c r="LQ26" s="55"/>
      <c r="LR26" s="55"/>
      <c r="LS26" s="55"/>
      <c r="LT26" s="55"/>
      <c r="LU26" s="55"/>
      <c r="LV26" s="55"/>
      <c r="LW26" s="55"/>
      <c r="LX26" s="55"/>
      <c r="LY26" s="55"/>
      <c r="LZ26" s="55"/>
      <c r="MA26" s="55"/>
      <c r="MB26" s="55"/>
      <c r="MC26" s="55"/>
      <c r="MD26" s="55"/>
      <c r="ME26" s="55"/>
      <c r="MF26" s="55"/>
      <c r="MG26" s="55"/>
      <c r="MH26" s="55"/>
      <c r="MI26" s="55"/>
      <c r="MJ26" s="55"/>
      <c r="MK26" s="55"/>
      <c r="ML26" s="55"/>
      <c r="MM26" s="55"/>
      <c r="MN26" s="55"/>
      <c r="MO26" s="55"/>
      <c r="MP26" s="55"/>
      <c r="MQ26" s="55"/>
      <c r="MR26" s="55"/>
      <c r="MS26" s="55"/>
      <c r="MT26" s="55"/>
      <c r="MU26" s="55"/>
      <c r="MV26" s="55"/>
      <c r="MW26" s="55"/>
      <c r="MX26" s="55"/>
      <c r="MY26" s="55"/>
      <c r="MZ26" s="55"/>
      <c r="NA26" s="55"/>
      <c r="NB26" s="55"/>
      <c r="NC26" s="55"/>
      <c r="ND26" s="55"/>
      <c r="NE26" s="55"/>
      <c r="NF26" s="55"/>
      <c r="NG26" s="55"/>
      <c r="NH26" s="55"/>
      <c r="NI26" s="55"/>
      <c r="NJ26" s="2"/>
      <c r="NK26" s="15" cm="1">
        <f t="array" aca="1" ref="NK26" ca="1">SUMPRODUCT((OFFSET($B26,0,31*($B$5-1)+1,1,31)&lt;&gt;"")*(IF(OFFSET($B26,0,31*($B$5-1)+1,1,31)=$NY$12,0.5,IF(OFFSET($B26,0,31*($B$5-1)+1,1,31)=$NY$13,0.5,1))*(OFFSET($B$6,0,31*($B$5-1)+1,1,31))))</f>
        <v>0</v>
      </c>
      <c r="NL26" s="19" cm="1">
        <f t="array" aca="1" ref="NL26" ca="1">SUMPRODUCT((OFFSET($B26,0,1,1,372)&lt;&gt;"")*(IF(OFFSET($B26,0,1,1,372)=$NY$12,0.5,IF(OFFSET($B26,0,1,1,372)=$NY$13,0.5,1))*(OFFSET($B$5,0,1,1,372))))</f>
        <v>0</v>
      </c>
      <c r="NM26" s="38">
        <f t="shared" ca="1" si="7"/>
        <v>0</v>
      </c>
      <c r="NN26" s="38">
        <f t="shared" ca="1" si="7"/>
        <v>0</v>
      </c>
      <c r="NO26" s="38">
        <f t="shared" ca="1" si="7"/>
        <v>0</v>
      </c>
      <c r="NP26" s="38">
        <f t="shared" ca="1" si="7"/>
        <v>0</v>
      </c>
      <c r="NQ26" s="38">
        <f t="shared" ca="1" si="7"/>
        <v>0</v>
      </c>
      <c r="NR26" s="38">
        <f t="shared" ca="1" si="11"/>
        <v>0</v>
      </c>
      <c r="NS26" s="38">
        <f t="shared" ca="1" si="8"/>
        <v>0</v>
      </c>
      <c r="NX26" s="17" t="s">
        <v>12</v>
      </c>
      <c r="NY26" s="17" t="s">
        <v>31</v>
      </c>
    </row>
    <row r="27" spans="1:390" x14ac:dyDescent="0.35">
      <c r="A27" s="52"/>
      <c r="B27" s="30" t="s">
        <v>74</v>
      </c>
      <c r="C27" s="55"/>
      <c r="D27" s="59"/>
      <c r="E27" s="59"/>
      <c r="F27" s="55"/>
      <c r="G27" s="59"/>
      <c r="H27" s="59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55"/>
      <c r="CO27" s="55"/>
      <c r="CP27" s="55"/>
      <c r="CQ27" s="55"/>
      <c r="CR27" s="55"/>
      <c r="CS27" s="55"/>
      <c r="CT27" s="55"/>
      <c r="CU27" s="55"/>
      <c r="CV27" s="55"/>
      <c r="CW27" s="55"/>
      <c r="CX27" s="55"/>
      <c r="CY27" s="55"/>
      <c r="CZ27" s="55"/>
      <c r="DA27" s="55"/>
      <c r="DB27" s="55"/>
      <c r="DC27" s="55"/>
      <c r="DD27" s="55"/>
      <c r="DE27" s="55"/>
      <c r="DF27" s="55"/>
      <c r="DG27" s="55"/>
      <c r="DH27" s="55"/>
      <c r="DI27" s="55"/>
      <c r="DJ27" s="55"/>
      <c r="DK27" s="55"/>
      <c r="DL27" s="55"/>
      <c r="DM27" s="55"/>
      <c r="DN27" s="55"/>
      <c r="DO27" s="55"/>
      <c r="DP27" s="55"/>
      <c r="DQ27" s="55"/>
      <c r="DR27" s="55"/>
      <c r="DS27" s="55"/>
      <c r="DT27" s="55"/>
      <c r="DU27" s="55"/>
      <c r="DV27" s="55"/>
      <c r="DW27" s="55"/>
      <c r="DX27" s="55"/>
      <c r="DY27" s="55"/>
      <c r="DZ27" s="55"/>
      <c r="EA27" s="55"/>
      <c r="EB27" s="55"/>
      <c r="EC27" s="55"/>
      <c r="ED27" s="55"/>
      <c r="EE27" s="55"/>
      <c r="EF27" s="55"/>
      <c r="EG27" s="55"/>
      <c r="EH27" s="55"/>
      <c r="EI27" s="55"/>
      <c r="EJ27" s="55"/>
      <c r="EK27" s="55"/>
      <c r="EL27" s="55"/>
      <c r="EM27" s="55"/>
      <c r="EN27" s="55"/>
      <c r="EO27" s="55"/>
      <c r="EP27" s="55"/>
      <c r="EQ27" s="55"/>
      <c r="ER27" s="55"/>
      <c r="ES27" s="55"/>
      <c r="ET27" s="55"/>
      <c r="EU27" s="55"/>
      <c r="EV27" s="55"/>
      <c r="EW27" s="55"/>
      <c r="EX27" s="55"/>
      <c r="EY27" s="55"/>
      <c r="EZ27" s="55"/>
      <c r="FA27" s="55"/>
      <c r="FB27" s="55"/>
      <c r="FC27" s="55"/>
      <c r="FD27" s="55"/>
      <c r="FE27" s="55"/>
      <c r="FF27" s="55"/>
      <c r="FG27" s="55"/>
      <c r="FH27" s="55"/>
      <c r="FI27" s="55"/>
      <c r="FJ27" s="55"/>
      <c r="FK27" s="55"/>
      <c r="FL27" s="55"/>
      <c r="FM27" s="55"/>
      <c r="FN27" s="55"/>
      <c r="FO27" s="55"/>
      <c r="FP27" s="55"/>
      <c r="FQ27" s="55"/>
      <c r="FR27" s="55"/>
      <c r="FS27" s="55"/>
      <c r="FT27" s="55"/>
      <c r="FU27" s="55"/>
      <c r="FV27" s="55"/>
      <c r="FW27" s="55"/>
      <c r="FX27" s="55"/>
      <c r="FY27" s="55"/>
      <c r="FZ27" s="55"/>
      <c r="GA27" s="55"/>
      <c r="GB27" s="55"/>
      <c r="GC27" s="55"/>
      <c r="GD27" s="55"/>
      <c r="GE27" s="55"/>
      <c r="GF27" s="55"/>
      <c r="GG27" s="55"/>
      <c r="GH27" s="55"/>
      <c r="GI27" s="55"/>
      <c r="GJ27" s="55"/>
      <c r="GK27" s="55"/>
      <c r="GL27" s="55"/>
      <c r="GM27" s="55"/>
      <c r="GN27" s="55"/>
      <c r="GO27" s="55"/>
      <c r="GP27" s="55"/>
      <c r="GQ27" s="55"/>
      <c r="GR27" s="55"/>
      <c r="GS27" s="55"/>
      <c r="GT27" s="55"/>
      <c r="GU27" s="55"/>
      <c r="GV27" s="55"/>
      <c r="GW27" s="55"/>
      <c r="GX27" s="55"/>
      <c r="GY27" s="55"/>
      <c r="GZ27" s="55"/>
      <c r="HA27" s="55"/>
      <c r="HB27" s="55"/>
      <c r="HC27" s="55"/>
      <c r="HD27" s="55"/>
      <c r="HE27" s="55"/>
      <c r="HF27" s="55"/>
      <c r="HG27" s="55"/>
      <c r="HH27" s="55"/>
      <c r="HI27" s="55"/>
      <c r="HJ27" s="55"/>
      <c r="HK27" s="55"/>
      <c r="HL27" s="55"/>
      <c r="HM27" s="55"/>
      <c r="HN27" s="55"/>
      <c r="HO27" s="55"/>
      <c r="HP27" s="55"/>
      <c r="HQ27" s="55"/>
      <c r="HR27" s="55"/>
      <c r="HS27" s="55"/>
      <c r="HT27" s="55"/>
      <c r="HU27" s="55"/>
      <c r="HV27" s="55"/>
      <c r="HW27" s="55"/>
      <c r="HX27" s="55"/>
      <c r="HY27" s="55"/>
      <c r="HZ27" s="55"/>
      <c r="IA27" s="55"/>
      <c r="IB27" s="55"/>
      <c r="IC27" s="55"/>
      <c r="ID27" s="55"/>
      <c r="IE27" s="55"/>
      <c r="IF27" s="55"/>
      <c r="IG27" s="55"/>
      <c r="IH27" s="55"/>
      <c r="II27" s="55"/>
      <c r="IJ27" s="55"/>
      <c r="IK27" s="55"/>
      <c r="IL27" s="55"/>
      <c r="IM27" s="55"/>
      <c r="IN27" s="55"/>
      <c r="IO27" s="55"/>
      <c r="IP27" s="55"/>
      <c r="IQ27" s="55"/>
      <c r="IR27" s="55"/>
      <c r="IS27" s="55"/>
      <c r="IT27" s="55"/>
      <c r="IU27" s="55"/>
      <c r="IV27" s="55"/>
      <c r="IW27" s="55"/>
      <c r="IX27" s="55"/>
      <c r="IY27" s="55"/>
      <c r="IZ27" s="55"/>
      <c r="JA27" s="55"/>
      <c r="JB27" s="55"/>
      <c r="JC27" s="55"/>
      <c r="JD27" s="55"/>
      <c r="JE27" s="55"/>
      <c r="JF27" s="55"/>
      <c r="JG27" s="55"/>
      <c r="JH27" s="55"/>
      <c r="JI27" s="55"/>
      <c r="JJ27" s="55"/>
      <c r="JK27" s="55"/>
      <c r="JL27" s="55"/>
      <c r="JM27" s="55"/>
      <c r="JN27" s="55"/>
      <c r="JO27" s="55"/>
      <c r="JP27" s="55"/>
      <c r="JQ27" s="55"/>
      <c r="JR27" s="55"/>
      <c r="JS27" s="55"/>
      <c r="JT27" s="55"/>
      <c r="JU27" s="55"/>
      <c r="JV27" s="55"/>
      <c r="JW27" s="55"/>
      <c r="JX27" s="55"/>
      <c r="JY27" s="55"/>
      <c r="JZ27" s="55"/>
      <c r="KA27" s="55"/>
      <c r="KB27" s="55"/>
      <c r="KC27" s="55"/>
      <c r="KD27" s="55"/>
      <c r="KE27" s="55"/>
      <c r="KF27" s="55"/>
      <c r="KG27" s="55"/>
      <c r="KH27" s="55"/>
      <c r="KI27" s="55"/>
      <c r="KJ27" s="55"/>
      <c r="KK27" s="55"/>
      <c r="KL27" s="55"/>
      <c r="KM27" s="55"/>
      <c r="KN27" s="55"/>
      <c r="KO27" s="55"/>
      <c r="KP27" s="55"/>
      <c r="KQ27" s="55"/>
      <c r="KR27" s="55"/>
      <c r="KS27" s="55"/>
      <c r="KT27" s="55"/>
      <c r="KU27" s="55"/>
      <c r="KV27" s="55"/>
      <c r="KW27" s="55"/>
      <c r="KX27" s="55"/>
      <c r="KY27" s="55"/>
      <c r="KZ27" s="55"/>
      <c r="LA27" s="55"/>
      <c r="LB27" s="55"/>
      <c r="LC27" s="55"/>
      <c r="LD27" s="55"/>
      <c r="LE27" s="55"/>
      <c r="LF27" s="55"/>
      <c r="LG27" s="55"/>
      <c r="LH27" s="55"/>
      <c r="LI27" s="55"/>
      <c r="LJ27" s="55"/>
      <c r="LK27" s="55"/>
      <c r="LL27" s="55"/>
      <c r="LM27" s="55"/>
      <c r="LN27" s="55"/>
      <c r="LO27" s="55"/>
      <c r="LP27" s="55"/>
      <c r="LQ27" s="55"/>
      <c r="LR27" s="55"/>
      <c r="LS27" s="55"/>
      <c r="LT27" s="55"/>
      <c r="LU27" s="55"/>
      <c r="LV27" s="55"/>
      <c r="LW27" s="55"/>
      <c r="LX27" s="55"/>
      <c r="LY27" s="55"/>
      <c r="LZ27" s="55"/>
      <c r="MA27" s="55"/>
      <c r="MB27" s="55"/>
      <c r="MC27" s="55"/>
      <c r="MD27" s="55"/>
      <c r="ME27" s="55"/>
      <c r="MF27" s="55"/>
      <c r="MG27" s="55"/>
      <c r="MH27" s="55"/>
      <c r="MI27" s="55"/>
      <c r="MJ27" s="55"/>
      <c r="MK27" s="55"/>
      <c r="ML27" s="55"/>
      <c r="MM27" s="55"/>
      <c r="MN27" s="55"/>
      <c r="MO27" s="55"/>
      <c r="MP27" s="55"/>
      <c r="MQ27" s="55"/>
      <c r="MR27" s="55"/>
      <c r="MS27" s="55"/>
      <c r="MT27" s="55"/>
      <c r="MU27" s="55"/>
      <c r="MV27" s="55"/>
      <c r="MW27" s="55"/>
      <c r="MX27" s="55"/>
      <c r="MY27" s="55"/>
      <c r="MZ27" s="55"/>
      <c r="NA27" s="55"/>
      <c r="NB27" s="55"/>
      <c r="NC27" s="55"/>
      <c r="ND27" s="55"/>
      <c r="NE27" s="55"/>
      <c r="NF27" s="55"/>
      <c r="NG27" s="55"/>
      <c r="NH27" s="55"/>
      <c r="NI27" s="55"/>
      <c r="NJ27" s="2"/>
      <c r="NK27" s="15" cm="1">
        <f t="array" aca="1" ref="NK27" ca="1">SUMPRODUCT((OFFSET($B27,0,31*($B$5-1)+1,1,31)&lt;&gt;"")*(IF(OFFSET($B27,0,31*($B$5-1)+1,1,31)=$NY$12,0.5,IF(OFFSET($B27,0,31*($B$5-1)+1,1,31)=$NY$13,0.5,1))*(OFFSET($B$6,0,31*($B$5-1)+1,1,31))))</f>
        <v>0</v>
      </c>
      <c r="NL27" s="19" cm="1">
        <f t="array" aca="1" ref="NL27" ca="1">SUMPRODUCT((OFFSET($B27,0,1,1,372)&lt;&gt;"")*(IF(OFFSET($B27,0,1,1,372)=$NY$12,0.5,IF(OFFSET($B27,0,1,1,372)=$NY$13,0.5,1))*(OFFSET($B$5,0,1,1,372))))</f>
        <v>0</v>
      </c>
      <c r="NM27" s="38">
        <f t="shared" ca="1" si="7"/>
        <v>0</v>
      </c>
      <c r="NN27" s="38">
        <f t="shared" ca="1" si="7"/>
        <v>0</v>
      </c>
      <c r="NO27" s="38">
        <f t="shared" ca="1" si="7"/>
        <v>0</v>
      </c>
      <c r="NP27" s="38">
        <f t="shared" ca="1" si="7"/>
        <v>0</v>
      </c>
      <c r="NQ27" s="38">
        <f t="shared" ca="1" si="7"/>
        <v>0</v>
      </c>
      <c r="NR27" s="38">
        <f t="shared" ca="1" si="11"/>
        <v>0</v>
      </c>
      <c r="NS27" s="38">
        <f t="shared" ca="1" si="8"/>
        <v>0</v>
      </c>
      <c r="NX27" s="17" t="s">
        <v>13</v>
      </c>
      <c r="NY27" s="17" t="s">
        <v>31</v>
      </c>
    </row>
    <row r="28" spans="1:390" x14ac:dyDescent="0.35">
      <c r="A28" s="52"/>
      <c r="B28" s="30" t="s">
        <v>74</v>
      </c>
      <c r="C28" s="55"/>
      <c r="D28" s="59"/>
      <c r="E28" s="59"/>
      <c r="F28" s="55"/>
      <c r="G28" s="55"/>
      <c r="H28" s="59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55"/>
      <c r="CO28" s="55"/>
      <c r="CP28" s="55"/>
      <c r="CQ28" s="55"/>
      <c r="CR28" s="55"/>
      <c r="CS28" s="55"/>
      <c r="CT28" s="55"/>
      <c r="CU28" s="55"/>
      <c r="CV28" s="55"/>
      <c r="CW28" s="55"/>
      <c r="CX28" s="55"/>
      <c r="CY28" s="55"/>
      <c r="CZ28" s="55"/>
      <c r="DA28" s="55"/>
      <c r="DB28" s="55"/>
      <c r="DC28" s="55"/>
      <c r="DD28" s="55"/>
      <c r="DE28" s="55"/>
      <c r="DF28" s="55"/>
      <c r="DG28" s="55"/>
      <c r="DH28" s="55"/>
      <c r="DI28" s="55"/>
      <c r="DJ28" s="55"/>
      <c r="DK28" s="55"/>
      <c r="DL28" s="55"/>
      <c r="DM28" s="55"/>
      <c r="DN28" s="55"/>
      <c r="DO28" s="55"/>
      <c r="DP28" s="55"/>
      <c r="DQ28" s="55"/>
      <c r="DR28" s="55"/>
      <c r="DS28" s="55"/>
      <c r="DT28" s="55"/>
      <c r="DU28" s="55"/>
      <c r="DV28" s="55"/>
      <c r="DW28" s="55"/>
      <c r="DX28" s="55"/>
      <c r="DY28" s="55"/>
      <c r="DZ28" s="55"/>
      <c r="EA28" s="55"/>
      <c r="EB28" s="55"/>
      <c r="EC28" s="55"/>
      <c r="ED28" s="55"/>
      <c r="EE28" s="55"/>
      <c r="EF28" s="55"/>
      <c r="EG28" s="55"/>
      <c r="EH28" s="55"/>
      <c r="EI28" s="55"/>
      <c r="EJ28" s="55"/>
      <c r="EK28" s="55"/>
      <c r="EL28" s="55"/>
      <c r="EM28" s="55"/>
      <c r="EN28" s="55"/>
      <c r="EO28" s="55"/>
      <c r="EP28" s="55"/>
      <c r="EQ28" s="55"/>
      <c r="ER28" s="55"/>
      <c r="ES28" s="55"/>
      <c r="ET28" s="55"/>
      <c r="EU28" s="55"/>
      <c r="EV28" s="55"/>
      <c r="EW28" s="55"/>
      <c r="EX28" s="55"/>
      <c r="EY28" s="55"/>
      <c r="EZ28" s="55"/>
      <c r="FA28" s="55"/>
      <c r="FB28" s="55"/>
      <c r="FC28" s="55"/>
      <c r="FD28" s="55"/>
      <c r="FE28" s="55"/>
      <c r="FF28" s="55"/>
      <c r="FG28" s="55"/>
      <c r="FH28" s="55"/>
      <c r="FI28" s="55"/>
      <c r="FJ28" s="55"/>
      <c r="FK28" s="55"/>
      <c r="FL28" s="55"/>
      <c r="FM28" s="55"/>
      <c r="FN28" s="55"/>
      <c r="FO28" s="55"/>
      <c r="FP28" s="55"/>
      <c r="FQ28" s="55"/>
      <c r="FR28" s="55"/>
      <c r="FS28" s="55"/>
      <c r="FT28" s="55"/>
      <c r="FU28" s="55"/>
      <c r="FV28" s="55"/>
      <c r="FW28" s="55"/>
      <c r="FX28" s="55"/>
      <c r="FY28" s="55"/>
      <c r="FZ28" s="55"/>
      <c r="GA28" s="55"/>
      <c r="GB28" s="55"/>
      <c r="GC28" s="55"/>
      <c r="GD28" s="55"/>
      <c r="GE28" s="55"/>
      <c r="GF28" s="55"/>
      <c r="GG28" s="55"/>
      <c r="GH28" s="55"/>
      <c r="GI28" s="55"/>
      <c r="GJ28" s="55"/>
      <c r="GK28" s="55"/>
      <c r="GL28" s="55"/>
      <c r="GM28" s="55"/>
      <c r="GN28" s="55"/>
      <c r="GO28" s="55"/>
      <c r="GP28" s="55"/>
      <c r="GQ28" s="55"/>
      <c r="GR28" s="55"/>
      <c r="GS28" s="55"/>
      <c r="GT28" s="55"/>
      <c r="GU28" s="55"/>
      <c r="GV28" s="55"/>
      <c r="GW28" s="55"/>
      <c r="GX28" s="55"/>
      <c r="GY28" s="55"/>
      <c r="GZ28" s="55"/>
      <c r="HA28" s="55"/>
      <c r="HB28" s="55"/>
      <c r="HC28" s="55"/>
      <c r="HD28" s="55"/>
      <c r="HE28" s="55"/>
      <c r="HF28" s="55"/>
      <c r="HG28" s="55"/>
      <c r="HH28" s="55"/>
      <c r="HI28" s="55"/>
      <c r="HJ28" s="55"/>
      <c r="HK28" s="55"/>
      <c r="HL28" s="55"/>
      <c r="HM28" s="55"/>
      <c r="HN28" s="55"/>
      <c r="HO28" s="55"/>
      <c r="HP28" s="55"/>
      <c r="HQ28" s="55"/>
      <c r="HR28" s="55"/>
      <c r="HS28" s="55"/>
      <c r="HT28" s="55"/>
      <c r="HU28" s="55"/>
      <c r="HV28" s="55"/>
      <c r="HW28" s="55"/>
      <c r="HX28" s="55"/>
      <c r="HY28" s="55"/>
      <c r="HZ28" s="55"/>
      <c r="IA28" s="55"/>
      <c r="IB28" s="55"/>
      <c r="IC28" s="55"/>
      <c r="ID28" s="55"/>
      <c r="IE28" s="55"/>
      <c r="IF28" s="55"/>
      <c r="IG28" s="55"/>
      <c r="IH28" s="55"/>
      <c r="II28" s="55"/>
      <c r="IJ28" s="55"/>
      <c r="IK28" s="55"/>
      <c r="IL28" s="55"/>
      <c r="IM28" s="55"/>
      <c r="IN28" s="55"/>
      <c r="IO28" s="55"/>
      <c r="IP28" s="55"/>
      <c r="IQ28" s="55"/>
      <c r="IR28" s="55"/>
      <c r="IS28" s="55"/>
      <c r="IT28" s="55"/>
      <c r="IU28" s="55"/>
      <c r="IV28" s="55"/>
      <c r="IW28" s="55"/>
      <c r="IX28" s="55"/>
      <c r="IY28" s="55"/>
      <c r="IZ28" s="55"/>
      <c r="JA28" s="55"/>
      <c r="JB28" s="55"/>
      <c r="JC28" s="55"/>
      <c r="JD28" s="55"/>
      <c r="JE28" s="55"/>
      <c r="JF28" s="55"/>
      <c r="JG28" s="55"/>
      <c r="JH28" s="55"/>
      <c r="JI28" s="55"/>
      <c r="JJ28" s="55"/>
      <c r="JK28" s="55"/>
      <c r="JL28" s="55"/>
      <c r="JM28" s="55"/>
      <c r="JN28" s="55"/>
      <c r="JO28" s="55"/>
      <c r="JP28" s="55"/>
      <c r="JQ28" s="55"/>
      <c r="JR28" s="55"/>
      <c r="JS28" s="55"/>
      <c r="JT28" s="55"/>
      <c r="JU28" s="55"/>
      <c r="JV28" s="55"/>
      <c r="JW28" s="55"/>
      <c r="JX28" s="55"/>
      <c r="JY28" s="55"/>
      <c r="JZ28" s="55"/>
      <c r="KA28" s="55"/>
      <c r="KB28" s="55"/>
      <c r="KC28" s="55"/>
      <c r="KD28" s="55"/>
      <c r="KE28" s="55"/>
      <c r="KF28" s="55"/>
      <c r="KG28" s="55"/>
      <c r="KH28" s="55"/>
      <c r="KI28" s="55"/>
      <c r="KJ28" s="55"/>
      <c r="KK28" s="55"/>
      <c r="KL28" s="55"/>
      <c r="KM28" s="55"/>
      <c r="KN28" s="55"/>
      <c r="KO28" s="55"/>
      <c r="KP28" s="55"/>
      <c r="KQ28" s="55"/>
      <c r="KR28" s="55"/>
      <c r="KS28" s="55"/>
      <c r="KT28" s="55"/>
      <c r="KU28" s="55"/>
      <c r="KV28" s="55"/>
      <c r="KW28" s="55"/>
      <c r="KX28" s="55"/>
      <c r="KY28" s="55"/>
      <c r="KZ28" s="55"/>
      <c r="LA28" s="55"/>
      <c r="LB28" s="55"/>
      <c r="LC28" s="55"/>
      <c r="LD28" s="55"/>
      <c r="LE28" s="55"/>
      <c r="LF28" s="55"/>
      <c r="LG28" s="55"/>
      <c r="LH28" s="55"/>
      <c r="LI28" s="55"/>
      <c r="LJ28" s="55"/>
      <c r="LK28" s="55"/>
      <c r="LL28" s="55"/>
      <c r="LM28" s="55"/>
      <c r="LN28" s="55"/>
      <c r="LO28" s="55"/>
      <c r="LP28" s="55"/>
      <c r="LQ28" s="55"/>
      <c r="LR28" s="55"/>
      <c r="LS28" s="55"/>
      <c r="LT28" s="55"/>
      <c r="LU28" s="55"/>
      <c r="LV28" s="55"/>
      <c r="LW28" s="55"/>
      <c r="LX28" s="55"/>
      <c r="LY28" s="55"/>
      <c r="LZ28" s="55"/>
      <c r="MA28" s="55"/>
      <c r="MB28" s="55"/>
      <c r="MC28" s="55"/>
      <c r="MD28" s="55"/>
      <c r="ME28" s="55"/>
      <c r="MF28" s="55"/>
      <c r="MG28" s="55"/>
      <c r="MH28" s="55"/>
      <c r="MI28" s="55"/>
      <c r="MJ28" s="55"/>
      <c r="MK28" s="55"/>
      <c r="ML28" s="55"/>
      <c r="MM28" s="55"/>
      <c r="MN28" s="55"/>
      <c r="MO28" s="55"/>
      <c r="MP28" s="55"/>
      <c r="MQ28" s="55"/>
      <c r="MR28" s="55"/>
      <c r="MS28" s="55"/>
      <c r="MT28" s="55"/>
      <c r="MU28" s="55"/>
      <c r="MV28" s="55"/>
      <c r="MW28" s="55"/>
      <c r="MX28" s="55"/>
      <c r="MY28" s="55"/>
      <c r="MZ28" s="55"/>
      <c r="NA28" s="55"/>
      <c r="NB28" s="55"/>
      <c r="NC28" s="55"/>
      <c r="ND28" s="55"/>
      <c r="NE28" s="55"/>
      <c r="NF28" s="55"/>
      <c r="NG28" s="55"/>
      <c r="NH28" s="55"/>
      <c r="NI28" s="55"/>
      <c r="NJ28" s="2"/>
      <c r="NK28" s="15" cm="1">
        <f t="array" aca="1" ref="NK28" ca="1">SUMPRODUCT((OFFSET($B28,0,31*($B$5-1)+1,1,31)&lt;&gt;"")*(IF(OFFSET($B28,0,31*($B$5-1)+1,1,31)=$NY$12,0.5,IF(OFFSET($B28,0,31*($B$5-1)+1,1,31)=$NY$13,0.5,1))*(OFFSET($B$6,0,31*($B$5-1)+1,1,31))))</f>
        <v>0</v>
      </c>
      <c r="NL28" s="19" cm="1">
        <f t="array" aca="1" ref="NL28" ca="1">SUMPRODUCT((OFFSET($B28,0,1,1,372)&lt;&gt;"")*(IF(OFFSET($B28,0,1,1,372)=$NY$12,0.5,IF(OFFSET($B28,0,1,1,372)=$NY$13,0.5,1))*(OFFSET($B$5,0,1,1,372))))</f>
        <v>0</v>
      </c>
      <c r="NM28" s="38">
        <f t="shared" ca="1" si="7"/>
        <v>0</v>
      </c>
      <c r="NN28" s="38">
        <f t="shared" ca="1" si="7"/>
        <v>0</v>
      </c>
      <c r="NO28" s="38">
        <f t="shared" ca="1" si="7"/>
        <v>0</v>
      </c>
      <c r="NP28" s="38">
        <f t="shared" ca="1" si="7"/>
        <v>0</v>
      </c>
      <c r="NQ28" s="38">
        <f t="shared" ca="1" si="7"/>
        <v>0</v>
      </c>
      <c r="NR28" s="38">
        <f t="shared" ca="1" si="11"/>
        <v>0</v>
      </c>
      <c r="NS28" s="38">
        <f t="shared" ca="1" si="8"/>
        <v>0</v>
      </c>
      <c r="NX28" s="17" t="s">
        <v>14</v>
      </c>
      <c r="NY28" s="17" t="s">
        <v>31</v>
      </c>
    </row>
    <row r="29" spans="1:390" x14ac:dyDescent="0.35">
      <c r="A29" s="52"/>
      <c r="B29" s="30" t="s">
        <v>74</v>
      </c>
      <c r="C29" s="55"/>
      <c r="D29" s="59"/>
      <c r="E29" s="59"/>
      <c r="F29" s="55"/>
      <c r="G29" s="55"/>
      <c r="H29" s="59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55"/>
      <c r="CO29" s="55"/>
      <c r="CP29" s="55"/>
      <c r="CQ29" s="55"/>
      <c r="CR29" s="55"/>
      <c r="CS29" s="55"/>
      <c r="CT29" s="55"/>
      <c r="CU29" s="55"/>
      <c r="CV29" s="55"/>
      <c r="CW29" s="55"/>
      <c r="CX29" s="55"/>
      <c r="CY29" s="55"/>
      <c r="CZ29" s="55"/>
      <c r="DA29" s="55"/>
      <c r="DB29" s="55"/>
      <c r="DC29" s="55"/>
      <c r="DD29" s="55"/>
      <c r="DE29" s="55"/>
      <c r="DF29" s="55"/>
      <c r="DG29" s="55"/>
      <c r="DH29" s="55"/>
      <c r="DI29" s="55"/>
      <c r="DJ29" s="55"/>
      <c r="DK29" s="55"/>
      <c r="DL29" s="55"/>
      <c r="DM29" s="55"/>
      <c r="DN29" s="55"/>
      <c r="DO29" s="55"/>
      <c r="DP29" s="55"/>
      <c r="DQ29" s="55"/>
      <c r="DR29" s="55"/>
      <c r="DS29" s="55"/>
      <c r="DT29" s="55"/>
      <c r="DU29" s="55"/>
      <c r="DV29" s="55"/>
      <c r="DW29" s="55"/>
      <c r="DX29" s="55"/>
      <c r="DY29" s="55"/>
      <c r="DZ29" s="55"/>
      <c r="EA29" s="55"/>
      <c r="EB29" s="55"/>
      <c r="EC29" s="55"/>
      <c r="ED29" s="55"/>
      <c r="EE29" s="55"/>
      <c r="EF29" s="55"/>
      <c r="EG29" s="55"/>
      <c r="EH29" s="55"/>
      <c r="EI29" s="55"/>
      <c r="EJ29" s="55"/>
      <c r="EK29" s="55"/>
      <c r="EL29" s="55"/>
      <c r="EM29" s="55"/>
      <c r="EN29" s="55"/>
      <c r="EO29" s="55"/>
      <c r="EP29" s="55"/>
      <c r="EQ29" s="55"/>
      <c r="ER29" s="55"/>
      <c r="ES29" s="55"/>
      <c r="ET29" s="55"/>
      <c r="EU29" s="55"/>
      <c r="EV29" s="55"/>
      <c r="EW29" s="55"/>
      <c r="EX29" s="55"/>
      <c r="EY29" s="55"/>
      <c r="EZ29" s="55"/>
      <c r="FA29" s="55"/>
      <c r="FB29" s="55"/>
      <c r="FC29" s="55"/>
      <c r="FD29" s="55"/>
      <c r="FE29" s="55"/>
      <c r="FF29" s="55"/>
      <c r="FG29" s="55"/>
      <c r="FH29" s="55"/>
      <c r="FI29" s="55"/>
      <c r="FJ29" s="55"/>
      <c r="FK29" s="55"/>
      <c r="FL29" s="55"/>
      <c r="FM29" s="55"/>
      <c r="FN29" s="55"/>
      <c r="FO29" s="55"/>
      <c r="FP29" s="55"/>
      <c r="FQ29" s="55"/>
      <c r="FR29" s="55"/>
      <c r="FS29" s="55"/>
      <c r="FT29" s="55"/>
      <c r="FU29" s="55"/>
      <c r="FV29" s="55"/>
      <c r="FW29" s="55"/>
      <c r="FX29" s="55"/>
      <c r="FY29" s="55"/>
      <c r="FZ29" s="55"/>
      <c r="GA29" s="55"/>
      <c r="GB29" s="55"/>
      <c r="GC29" s="55"/>
      <c r="GD29" s="55"/>
      <c r="GE29" s="55"/>
      <c r="GF29" s="55"/>
      <c r="GG29" s="55"/>
      <c r="GH29" s="55"/>
      <c r="GI29" s="55"/>
      <c r="GJ29" s="55"/>
      <c r="GK29" s="55"/>
      <c r="GL29" s="55"/>
      <c r="GM29" s="55"/>
      <c r="GN29" s="55"/>
      <c r="GO29" s="55"/>
      <c r="GP29" s="55"/>
      <c r="GQ29" s="55"/>
      <c r="GR29" s="55"/>
      <c r="GS29" s="55"/>
      <c r="GT29" s="55"/>
      <c r="GU29" s="55"/>
      <c r="GV29" s="55"/>
      <c r="GW29" s="55"/>
      <c r="GX29" s="55"/>
      <c r="GY29" s="55"/>
      <c r="GZ29" s="55"/>
      <c r="HA29" s="55"/>
      <c r="HB29" s="55"/>
      <c r="HC29" s="55"/>
      <c r="HD29" s="55"/>
      <c r="HE29" s="55"/>
      <c r="HF29" s="55"/>
      <c r="HG29" s="55"/>
      <c r="HH29" s="55"/>
      <c r="HI29" s="55"/>
      <c r="HJ29" s="55"/>
      <c r="HK29" s="55"/>
      <c r="HL29" s="55"/>
      <c r="HM29" s="55"/>
      <c r="HN29" s="55"/>
      <c r="HO29" s="55"/>
      <c r="HP29" s="55"/>
      <c r="HQ29" s="55"/>
      <c r="HR29" s="55"/>
      <c r="HS29" s="55"/>
      <c r="HT29" s="55"/>
      <c r="HU29" s="55"/>
      <c r="HV29" s="55"/>
      <c r="HW29" s="55"/>
      <c r="HX29" s="55"/>
      <c r="HY29" s="55"/>
      <c r="HZ29" s="55"/>
      <c r="IA29" s="55"/>
      <c r="IB29" s="55"/>
      <c r="IC29" s="55"/>
      <c r="ID29" s="55"/>
      <c r="IE29" s="55"/>
      <c r="IF29" s="55"/>
      <c r="IG29" s="55"/>
      <c r="IH29" s="55"/>
      <c r="II29" s="55"/>
      <c r="IJ29" s="55"/>
      <c r="IK29" s="55"/>
      <c r="IL29" s="55"/>
      <c r="IM29" s="55"/>
      <c r="IN29" s="55"/>
      <c r="IO29" s="55"/>
      <c r="IP29" s="55"/>
      <c r="IQ29" s="55"/>
      <c r="IR29" s="55"/>
      <c r="IS29" s="55"/>
      <c r="IT29" s="55"/>
      <c r="IU29" s="55"/>
      <c r="IV29" s="55"/>
      <c r="IW29" s="55"/>
      <c r="IX29" s="55"/>
      <c r="IY29" s="55"/>
      <c r="IZ29" s="55"/>
      <c r="JA29" s="55"/>
      <c r="JB29" s="55"/>
      <c r="JC29" s="55"/>
      <c r="JD29" s="55"/>
      <c r="JE29" s="55"/>
      <c r="JF29" s="55"/>
      <c r="JG29" s="55"/>
      <c r="JH29" s="55"/>
      <c r="JI29" s="55"/>
      <c r="JJ29" s="55"/>
      <c r="JK29" s="55"/>
      <c r="JL29" s="55"/>
      <c r="JM29" s="55"/>
      <c r="JN29" s="55"/>
      <c r="JO29" s="55"/>
      <c r="JP29" s="55"/>
      <c r="JQ29" s="55"/>
      <c r="JR29" s="55"/>
      <c r="JS29" s="55"/>
      <c r="JT29" s="55"/>
      <c r="JU29" s="55"/>
      <c r="JV29" s="55"/>
      <c r="JW29" s="55"/>
      <c r="JX29" s="55"/>
      <c r="JY29" s="55"/>
      <c r="JZ29" s="55"/>
      <c r="KA29" s="55"/>
      <c r="KB29" s="55"/>
      <c r="KC29" s="55"/>
      <c r="KD29" s="55"/>
      <c r="KE29" s="55"/>
      <c r="KF29" s="55"/>
      <c r="KG29" s="55"/>
      <c r="KH29" s="55"/>
      <c r="KI29" s="55"/>
      <c r="KJ29" s="55"/>
      <c r="KK29" s="55"/>
      <c r="KL29" s="55"/>
      <c r="KM29" s="55"/>
      <c r="KN29" s="55"/>
      <c r="KO29" s="55"/>
      <c r="KP29" s="55"/>
      <c r="KQ29" s="55"/>
      <c r="KR29" s="55"/>
      <c r="KS29" s="55"/>
      <c r="KT29" s="55"/>
      <c r="KU29" s="55"/>
      <c r="KV29" s="55"/>
      <c r="KW29" s="55"/>
      <c r="KX29" s="55"/>
      <c r="KY29" s="55"/>
      <c r="KZ29" s="55"/>
      <c r="LA29" s="55"/>
      <c r="LB29" s="55"/>
      <c r="LC29" s="55"/>
      <c r="LD29" s="55"/>
      <c r="LE29" s="55"/>
      <c r="LF29" s="55"/>
      <c r="LG29" s="55"/>
      <c r="LH29" s="55"/>
      <c r="LI29" s="55"/>
      <c r="LJ29" s="55"/>
      <c r="LK29" s="55"/>
      <c r="LL29" s="55"/>
      <c r="LM29" s="55"/>
      <c r="LN29" s="55"/>
      <c r="LO29" s="55"/>
      <c r="LP29" s="55"/>
      <c r="LQ29" s="55"/>
      <c r="LR29" s="55"/>
      <c r="LS29" s="55"/>
      <c r="LT29" s="55"/>
      <c r="LU29" s="55"/>
      <c r="LV29" s="55"/>
      <c r="LW29" s="55"/>
      <c r="LX29" s="55"/>
      <c r="LY29" s="55"/>
      <c r="LZ29" s="55"/>
      <c r="MA29" s="55"/>
      <c r="MB29" s="55"/>
      <c r="MC29" s="55"/>
      <c r="MD29" s="55"/>
      <c r="ME29" s="55"/>
      <c r="MF29" s="55"/>
      <c r="MG29" s="55"/>
      <c r="MH29" s="55"/>
      <c r="MI29" s="55"/>
      <c r="MJ29" s="55"/>
      <c r="MK29" s="55"/>
      <c r="ML29" s="55"/>
      <c r="MM29" s="55"/>
      <c r="MN29" s="55"/>
      <c r="MO29" s="55"/>
      <c r="MP29" s="55"/>
      <c r="MQ29" s="55"/>
      <c r="MR29" s="55"/>
      <c r="MS29" s="55"/>
      <c r="MT29" s="55"/>
      <c r="MU29" s="55"/>
      <c r="MV29" s="55"/>
      <c r="MW29" s="55"/>
      <c r="MX29" s="55"/>
      <c r="MY29" s="55"/>
      <c r="MZ29" s="55"/>
      <c r="NA29" s="55"/>
      <c r="NB29" s="55"/>
      <c r="NC29" s="55"/>
      <c r="ND29" s="55"/>
      <c r="NE29" s="55"/>
      <c r="NF29" s="55"/>
      <c r="NG29" s="55"/>
      <c r="NH29" s="55"/>
      <c r="NI29" s="55"/>
      <c r="NJ29" s="2"/>
      <c r="NK29" s="15" cm="1">
        <f t="array" aca="1" ref="NK29" ca="1">SUMPRODUCT((OFFSET($B29,0,31*($B$5-1)+1,1,31)&lt;&gt;"")*(IF(OFFSET($B29,0,31*($B$5-1)+1,1,31)=$NY$12,0.5,IF(OFFSET($B29,0,31*($B$5-1)+1,1,31)=$NY$13,0.5,1))*(OFFSET($B$6,0,31*($B$5-1)+1,1,31))))</f>
        <v>0</v>
      </c>
      <c r="NL29" s="19" cm="1">
        <f t="array" aca="1" ref="NL29" ca="1">SUMPRODUCT((OFFSET($B29,0,1,1,372)&lt;&gt;"")*(IF(OFFSET($B29,0,1,1,372)=$NY$12,0.5,IF(OFFSET($B29,0,1,1,372)=$NY$13,0.5,1))*(OFFSET($B$5,0,1,1,372))))</f>
        <v>0</v>
      </c>
      <c r="NM29" s="38">
        <f t="shared" ref="NM29:NQ29" ca="1" si="13">SUMPRODUCT((OFFSET($B29,0,1,1,372)&lt;&gt;"")*(OFFSET($B$5,0,1,1,372))*((OFFSET($B29,0,1,1,372))=NM$7))</f>
        <v>0</v>
      </c>
      <c r="NN29" s="38">
        <f t="shared" ca="1" si="13"/>
        <v>0</v>
      </c>
      <c r="NO29" s="38">
        <f t="shared" ca="1" si="13"/>
        <v>0</v>
      </c>
      <c r="NP29" s="38">
        <f t="shared" ca="1" si="13"/>
        <v>0</v>
      </c>
      <c r="NQ29" s="38">
        <f t="shared" ca="1" si="13"/>
        <v>0</v>
      </c>
      <c r="NR29" s="38">
        <f t="shared" ca="1" si="11"/>
        <v>0</v>
      </c>
      <c r="NS29" s="38">
        <f t="shared" ca="1" si="8"/>
        <v>0</v>
      </c>
      <c r="NX29" s="17"/>
      <c r="NY29" s="17"/>
    </row>
    <row r="30" spans="1:390" x14ac:dyDescent="0.35">
      <c r="A30" s="52"/>
      <c r="B30" s="30" t="s">
        <v>74</v>
      </c>
      <c r="C30" s="55"/>
      <c r="D30" s="59"/>
      <c r="E30" s="55"/>
      <c r="F30" s="55"/>
      <c r="G30" s="55"/>
      <c r="H30" s="59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55"/>
      <c r="CO30" s="55"/>
      <c r="CP30" s="55"/>
      <c r="CQ30" s="55"/>
      <c r="CR30" s="55"/>
      <c r="CS30" s="55"/>
      <c r="CT30" s="55"/>
      <c r="CU30" s="55"/>
      <c r="CV30" s="55"/>
      <c r="CW30" s="55"/>
      <c r="CX30" s="55"/>
      <c r="CY30" s="55"/>
      <c r="CZ30" s="55"/>
      <c r="DA30" s="55"/>
      <c r="DB30" s="55"/>
      <c r="DC30" s="55"/>
      <c r="DD30" s="55"/>
      <c r="DE30" s="55"/>
      <c r="DF30" s="55"/>
      <c r="DG30" s="55"/>
      <c r="DH30" s="55"/>
      <c r="DI30" s="55"/>
      <c r="DJ30" s="55"/>
      <c r="DK30" s="55"/>
      <c r="DL30" s="55"/>
      <c r="DM30" s="55"/>
      <c r="DN30" s="55"/>
      <c r="DO30" s="55"/>
      <c r="DP30" s="55"/>
      <c r="DQ30" s="55"/>
      <c r="DR30" s="55"/>
      <c r="DS30" s="55"/>
      <c r="DT30" s="55"/>
      <c r="DU30" s="55"/>
      <c r="DV30" s="55"/>
      <c r="DW30" s="55"/>
      <c r="DX30" s="55"/>
      <c r="DY30" s="55"/>
      <c r="DZ30" s="55"/>
      <c r="EA30" s="55"/>
      <c r="EB30" s="55"/>
      <c r="EC30" s="55"/>
      <c r="ED30" s="55"/>
      <c r="EE30" s="55"/>
      <c r="EF30" s="55"/>
      <c r="EG30" s="55"/>
      <c r="EH30" s="55"/>
      <c r="EI30" s="55"/>
      <c r="EJ30" s="55"/>
      <c r="EK30" s="55"/>
      <c r="EL30" s="55"/>
      <c r="EM30" s="55"/>
      <c r="EN30" s="55"/>
      <c r="EO30" s="55"/>
      <c r="EP30" s="55"/>
      <c r="EQ30" s="55"/>
      <c r="ER30" s="55"/>
      <c r="ES30" s="55"/>
      <c r="ET30" s="55"/>
      <c r="EU30" s="55"/>
      <c r="EV30" s="55"/>
      <c r="EW30" s="55"/>
      <c r="EX30" s="55"/>
      <c r="EY30" s="55"/>
      <c r="EZ30" s="55"/>
      <c r="FA30" s="55"/>
      <c r="FB30" s="55"/>
      <c r="FC30" s="55"/>
      <c r="FD30" s="55"/>
      <c r="FE30" s="55"/>
      <c r="FF30" s="55"/>
      <c r="FG30" s="55"/>
      <c r="FH30" s="55"/>
      <c r="FI30" s="55"/>
      <c r="FJ30" s="55"/>
      <c r="FK30" s="55"/>
      <c r="FL30" s="55"/>
      <c r="FM30" s="55"/>
      <c r="FN30" s="55"/>
      <c r="FO30" s="55"/>
      <c r="FP30" s="55"/>
      <c r="FQ30" s="55"/>
      <c r="FR30" s="55"/>
      <c r="FS30" s="55"/>
      <c r="FT30" s="55"/>
      <c r="FU30" s="55"/>
      <c r="FV30" s="55"/>
      <c r="FW30" s="55"/>
      <c r="FX30" s="55"/>
      <c r="FY30" s="55"/>
      <c r="FZ30" s="55"/>
      <c r="GA30" s="55"/>
      <c r="GB30" s="55"/>
      <c r="GC30" s="55"/>
      <c r="GD30" s="55"/>
      <c r="GE30" s="55"/>
      <c r="GF30" s="55"/>
      <c r="GG30" s="55"/>
      <c r="GH30" s="55"/>
      <c r="GI30" s="55"/>
      <c r="GJ30" s="55"/>
      <c r="GK30" s="55"/>
      <c r="GL30" s="55"/>
      <c r="GM30" s="55"/>
      <c r="GN30" s="55"/>
      <c r="GO30" s="55"/>
      <c r="GP30" s="55"/>
      <c r="GQ30" s="55"/>
      <c r="GR30" s="55"/>
      <c r="GS30" s="55"/>
      <c r="GT30" s="55"/>
      <c r="GU30" s="55"/>
      <c r="GV30" s="55"/>
      <c r="GW30" s="55"/>
      <c r="GX30" s="55"/>
      <c r="GY30" s="55"/>
      <c r="GZ30" s="55"/>
      <c r="HA30" s="55"/>
      <c r="HB30" s="55"/>
      <c r="HC30" s="55"/>
      <c r="HD30" s="55"/>
      <c r="HE30" s="55"/>
      <c r="HF30" s="55"/>
      <c r="HG30" s="55"/>
      <c r="HH30" s="55"/>
      <c r="HI30" s="55"/>
      <c r="HJ30" s="55"/>
      <c r="HK30" s="55"/>
      <c r="HL30" s="55"/>
      <c r="HM30" s="55"/>
      <c r="HN30" s="55"/>
      <c r="HO30" s="55"/>
      <c r="HP30" s="55"/>
      <c r="HQ30" s="55"/>
      <c r="HR30" s="55"/>
      <c r="HS30" s="55"/>
      <c r="HT30" s="55"/>
      <c r="HU30" s="55"/>
      <c r="HV30" s="55"/>
      <c r="HW30" s="55"/>
      <c r="HX30" s="55"/>
      <c r="HY30" s="55"/>
      <c r="HZ30" s="55"/>
      <c r="IA30" s="55"/>
      <c r="IB30" s="55"/>
      <c r="IC30" s="55"/>
      <c r="ID30" s="55"/>
      <c r="IE30" s="55"/>
      <c r="IF30" s="55"/>
      <c r="IG30" s="55"/>
      <c r="IH30" s="55"/>
      <c r="II30" s="55"/>
      <c r="IJ30" s="55"/>
      <c r="IK30" s="55"/>
      <c r="IL30" s="55"/>
      <c r="IM30" s="55"/>
      <c r="IN30" s="55"/>
      <c r="IO30" s="55"/>
      <c r="IP30" s="55"/>
      <c r="IQ30" s="55"/>
      <c r="IR30" s="55"/>
      <c r="IS30" s="55"/>
      <c r="IT30" s="55"/>
      <c r="IU30" s="55"/>
      <c r="IV30" s="55"/>
      <c r="IW30" s="55"/>
      <c r="IX30" s="55"/>
      <c r="IY30" s="55"/>
      <c r="IZ30" s="55"/>
      <c r="JA30" s="55"/>
      <c r="JB30" s="55"/>
      <c r="JC30" s="55"/>
      <c r="JD30" s="55"/>
      <c r="JE30" s="55"/>
      <c r="JF30" s="55"/>
      <c r="JG30" s="55"/>
      <c r="JH30" s="55"/>
      <c r="JI30" s="55"/>
      <c r="JJ30" s="55"/>
      <c r="JK30" s="55"/>
      <c r="JL30" s="55"/>
      <c r="JM30" s="55"/>
      <c r="JN30" s="55"/>
      <c r="JO30" s="55"/>
      <c r="JP30" s="55"/>
      <c r="JQ30" s="55"/>
      <c r="JR30" s="55"/>
      <c r="JS30" s="55"/>
      <c r="JT30" s="55"/>
      <c r="JU30" s="55"/>
      <c r="JV30" s="55"/>
      <c r="JW30" s="55"/>
      <c r="JX30" s="55"/>
      <c r="JY30" s="55"/>
      <c r="JZ30" s="55"/>
      <c r="KA30" s="55"/>
      <c r="KB30" s="55"/>
      <c r="KC30" s="55"/>
      <c r="KD30" s="55"/>
      <c r="KE30" s="55"/>
      <c r="KF30" s="55"/>
      <c r="KG30" s="55"/>
      <c r="KH30" s="55"/>
      <c r="KI30" s="55"/>
      <c r="KJ30" s="55"/>
      <c r="KK30" s="55"/>
      <c r="KL30" s="55"/>
      <c r="KM30" s="55"/>
      <c r="KN30" s="55"/>
      <c r="KO30" s="55"/>
      <c r="KP30" s="55"/>
      <c r="KQ30" s="55"/>
      <c r="KR30" s="55"/>
      <c r="KS30" s="55"/>
      <c r="KT30" s="55"/>
      <c r="KU30" s="55"/>
      <c r="KV30" s="55"/>
      <c r="KW30" s="55"/>
      <c r="KX30" s="55"/>
      <c r="KY30" s="55"/>
      <c r="KZ30" s="55"/>
      <c r="LA30" s="55"/>
      <c r="LB30" s="55"/>
      <c r="LC30" s="55"/>
      <c r="LD30" s="55"/>
      <c r="LE30" s="55"/>
      <c r="LF30" s="55"/>
      <c r="LG30" s="55"/>
      <c r="LH30" s="55"/>
      <c r="LI30" s="55"/>
      <c r="LJ30" s="55"/>
      <c r="LK30" s="55"/>
      <c r="LL30" s="55"/>
      <c r="LM30" s="55"/>
      <c r="LN30" s="55"/>
      <c r="LO30" s="55"/>
      <c r="LP30" s="55"/>
      <c r="LQ30" s="55"/>
      <c r="LR30" s="55"/>
      <c r="LS30" s="55"/>
      <c r="LT30" s="55"/>
      <c r="LU30" s="55"/>
      <c r="LV30" s="55"/>
      <c r="LW30" s="55"/>
      <c r="LX30" s="55"/>
      <c r="LY30" s="55"/>
      <c r="LZ30" s="55"/>
      <c r="MA30" s="55"/>
      <c r="MB30" s="55"/>
      <c r="MC30" s="55"/>
      <c r="MD30" s="55"/>
      <c r="ME30" s="55"/>
      <c r="MF30" s="55"/>
      <c r="MG30" s="55"/>
      <c r="MH30" s="55"/>
      <c r="MI30" s="55"/>
      <c r="MJ30" s="55"/>
      <c r="MK30" s="55"/>
      <c r="ML30" s="55"/>
      <c r="MM30" s="55"/>
      <c r="MN30" s="55"/>
      <c r="MO30" s="55"/>
      <c r="MP30" s="55"/>
      <c r="MQ30" s="55"/>
      <c r="MR30" s="55"/>
      <c r="MS30" s="55"/>
      <c r="MT30" s="55"/>
      <c r="MU30" s="55"/>
      <c r="MV30" s="55"/>
      <c r="MW30" s="55"/>
      <c r="MX30" s="55"/>
      <c r="MY30" s="55"/>
      <c r="MZ30" s="55"/>
      <c r="NA30" s="55"/>
      <c r="NB30" s="55"/>
      <c r="NC30" s="55"/>
      <c r="ND30" s="55"/>
      <c r="NE30" s="55"/>
      <c r="NF30" s="55"/>
      <c r="NG30" s="55"/>
      <c r="NH30" s="55"/>
      <c r="NI30" s="55"/>
      <c r="NJ30" s="2"/>
      <c r="NK30" s="15" cm="1">
        <f t="array" aca="1" ref="NK30" ca="1">SUMPRODUCT((OFFSET($B30,0,31*($B$5-1)+1,1,31)&lt;&gt;"")*(IF(OFFSET($B30,0,31*($B$5-1)+1,1,31)=$NY$12,0.5,IF(OFFSET($B30,0,31*($B$5-1)+1,1,31)=$NY$13,0.5,1))*(OFFSET($B$6,0,31*($B$5-1)+1,1,31))))</f>
        <v>0</v>
      </c>
      <c r="NL30" s="19" cm="1">
        <f t="array" aca="1" ref="NL30" ca="1">SUMPRODUCT((OFFSET($B30,0,1,1,372)&lt;&gt;"")*(IF(OFFSET($B30,0,1,1,372)=$NY$12,0.5,IF(OFFSET($B30,0,1,1,372)=$NY$13,0.5,1))*(OFFSET($B$5,0,1,1,372))))</f>
        <v>0</v>
      </c>
      <c r="NM30" s="38">
        <f t="shared" ca="1" si="7"/>
        <v>0</v>
      </c>
      <c r="NN30" s="38">
        <f t="shared" ca="1" si="7"/>
        <v>0</v>
      </c>
      <c r="NO30" s="38">
        <f t="shared" ca="1" si="7"/>
        <v>0</v>
      </c>
      <c r="NP30" s="38">
        <f t="shared" ca="1" si="7"/>
        <v>0</v>
      </c>
      <c r="NQ30" s="38">
        <f t="shared" ca="1" si="7"/>
        <v>0</v>
      </c>
      <c r="NR30" s="38">
        <f t="shared" ca="1" si="11"/>
        <v>0</v>
      </c>
      <c r="NS30" s="38">
        <f t="shared" ca="1" si="8"/>
        <v>0</v>
      </c>
      <c r="NX30" s="17" t="s">
        <v>15</v>
      </c>
      <c r="NY30" s="17" t="s">
        <v>31</v>
      </c>
    </row>
    <row r="31" spans="1:390" x14ac:dyDescent="0.35">
      <c r="A31" s="52"/>
      <c r="B31" s="30" t="s">
        <v>74</v>
      </c>
      <c r="C31" s="55"/>
      <c r="D31" s="59"/>
      <c r="E31" s="55"/>
      <c r="F31" s="61"/>
      <c r="G31" s="61"/>
      <c r="H31" s="59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55"/>
      <c r="CO31" s="55"/>
      <c r="CP31" s="55"/>
      <c r="CQ31" s="55"/>
      <c r="CR31" s="55"/>
      <c r="CS31" s="55"/>
      <c r="CT31" s="55"/>
      <c r="CU31" s="55"/>
      <c r="CV31" s="55"/>
      <c r="CW31" s="55"/>
      <c r="CX31" s="55"/>
      <c r="CY31" s="55"/>
      <c r="CZ31" s="55"/>
      <c r="DA31" s="55"/>
      <c r="DB31" s="55"/>
      <c r="DC31" s="55"/>
      <c r="DD31" s="55"/>
      <c r="DE31" s="55"/>
      <c r="DF31" s="55"/>
      <c r="DG31" s="55"/>
      <c r="DH31" s="55"/>
      <c r="DI31" s="55"/>
      <c r="DJ31" s="55"/>
      <c r="DK31" s="55"/>
      <c r="DL31" s="55"/>
      <c r="DM31" s="55"/>
      <c r="DN31" s="55"/>
      <c r="DO31" s="55"/>
      <c r="DP31" s="55"/>
      <c r="DQ31" s="55"/>
      <c r="DR31" s="55"/>
      <c r="DS31" s="55"/>
      <c r="DT31" s="55"/>
      <c r="DU31" s="55"/>
      <c r="DV31" s="55"/>
      <c r="DW31" s="55"/>
      <c r="DX31" s="55"/>
      <c r="DY31" s="55"/>
      <c r="DZ31" s="55"/>
      <c r="EA31" s="55"/>
      <c r="EB31" s="55"/>
      <c r="EC31" s="55"/>
      <c r="ED31" s="55"/>
      <c r="EE31" s="55"/>
      <c r="EF31" s="55"/>
      <c r="EG31" s="55"/>
      <c r="EH31" s="55"/>
      <c r="EI31" s="55"/>
      <c r="EJ31" s="55"/>
      <c r="EK31" s="55"/>
      <c r="EL31" s="55"/>
      <c r="EM31" s="55"/>
      <c r="EN31" s="55"/>
      <c r="EO31" s="55"/>
      <c r="EP31" s="55"/>
      <c r="EQ31" s="55"/>
      <c r="ER31" s="55"/>
      <c r="ES31" s="55"/>
      <c r="ET31" s="55"/>
      <c r="EU31" s="55"/>
      <c r="EV31" s="55"/>
      <c r="EW31" s="55"/>
      <c r="EX31" s="55"/>
      <c r="EY31" s="55"/>
      <c r="EZ31" s="55"/>
      <c r="FA31" s="55"/>
      <c r="FB31" s="55"/>
      <c r="FC31" s="55"/>
      <c r="FD31" s="55"/>
      <c r="FE31" s="55"/>
      <c r="FF31" s="55"/>
      <c r="FG31" s="55"/>
      <c r="FH31" s="55"/>
      <c r="FI31" s="55"/>
      <c r="FJ31" s="55"/>
      <c r="FK31" s="55"/>
      <c r="FL31" s="55"/>
      <c r="FM31" s="55"/>
      <c r="FN31" s="55"/>
      <c r="FO31" s="55"/>
      <c r="FP31" s="55"/>
      <c r="FQ31" s="55"/>
      <c r="FR31" s="55"/>
      <c r="FS31" s="55"/>
      <c r="FT31" s="55"/>
      <c r="FU31" s="55"/>
      <c r="FV31" s="55"/>
      <c r="FW31" s="55"/>
      <c r="FX31" s="55"/>
      <c r="FY31" s="55"/>
      <c r="FZ31" s="55"/>
      <c r="GA31" s="55"/>
      <c r="GB31" s="55"/>
      <c r="GC31" s="55"/>
      <c r="GD31" s="55"/>
      <c r="GE31" s="55"/>
      <c r="GF31" s="55"/>
      <c r="GG31" s="55"/>
      <c r="GH31" s="55"/>
      <c r="GI31" s="55"/>
      <c r="GJ31" s="55"/>
      <c r="GK31" s="55"/>
      <c r="GL31" s="55"/>
      <c r="GM31" s="55"/>
      <c r="GN31" s="55"/>
      <c r="GO31" s="55"/>
      <c r="GP31" s="55"/>
      <c r="GQ31" s="55"/>
      <c r="GR31" s="55"/>
      <c r="GS31" s="55"/>
      <c r="GT31" s="55"/>
      <c r="GU31" s="55"/>
      <c r="GV31" s="55"/>
      <c r="GW31" s="55"/>
      <c r="GX31" s="55"/>
      <c r="GY31" s="55"/>
      <c r="GZ31" s="55"/>
      <c r="HA31" s="55"/>
      <c r="HB31" s="55"/>
      <c r="HC31" s="55"/>
      <c r="HD31" s="55"/>
      <c r="HE31" s="55"/>
      <c r="HF31" s="55"/>
      <c r="HG31" s="55"/>
      <c r="HH31" s="55"/>
      <c r="HI31" s="55"/>
      <c r="HJ31" s="55"/>
      <c r="HK31" s="55"/>
      <c r="HL31" s="55"/>
      <c r="HM31" s="55"/>
      <c r="HN31" s="55"/>
      <c r="HO31" s="55"/>
      <c r="HP31" s="55"/>
      <c r="HQ31" s="55"/>
      <c r="HR31" s="55"/>
      <c r="HS31" s="55"/>
      <c r="HT31" s="55"/>
      <c r="HU31" s="55"/>
      <c r="HV31" s="55"/>
      <c r="HW31" s="55"/>
      <c r="HX31" s="55"/>
      <c r="HY31" s="55"/>
      <c r="HZ31" s="55"/>
      <c r="IA31" s="55"/>
      <c r="IB31" s="55"/>
      <c r="IC31" s="55"/>
      <c r="ID31" s="55"/>
      <c r="IE31" s="55"/>
      <c r="IF31" s="55"/>
      <c r="IG31" s="55"/>
      <c r="IH31" s="55"/>
      <c r="II31" s="55"/>
      <c r="IJ31" s="55"/>
      <c r="IK31" s="55"/>
      <c r="IL31" s="55"/>
      <c r="IM31" s="55"/>
      <c r="IN31" s="55"/>
      <c r="IO31" s="55"/>
      <c r="IP31" s="55"/>
      <c r="IQ31" s="55"/>
      <c r="IR31" s="55"/>
      <c r="IS31" s="55"/>
      <c r="IT31" s="55"/>
      <c r="IU31" s="55"/>
      <c r="IV31" s="55"/>
      <c r="IW31" s="55"/>
      <c r="IX31" s="55"/>
      <c r="IY31" s="55"/>
      <c r="IZ31" s="55"/>
      <c r="JA31" s="55"/>
      <c r="JB31" s="55"/>
      <c r="JC31" s="55"/>
      <c r="JD31" s="55"/>
      <c r="JE31" s="55"/>
      <c r="JF31" s="55"/>
      <c r="JG31" s="55"/>
      <c r="JH31" s="55"/>
      <c r="JI31" s="55"/>
      <c r="JJ31" s="55"/>
      <c r="JK31" s="55"/>
      <c r="JL31" s="55"/>
      <c r="JM31" s="55"/>
      <c r="JN31" s="55"/>
      <c r="JO31" s="55"/>
      <c r="JP31" s="55"/>
      <c r="JQ31" s="55"/>
      <c r="JR31" s="55"/>
      <c r="JS31" s="55"/>
      <c r="JT31" s="55"/>
      <c r="JU31" s="55"/>
      <c r="JV31" s="55"/>
      <c r="JW31" s="55"/>
      <c r="JX31" s="55"/>
      <c r="JY31" s="55"/>
      <c r="JZ31" s="55"/>
      <c r="KA31" s="55"/>
      <c r="KB31" s="55"/>
      <c r="KC31" s="55"/>
      <c r="KD31" s="55"/>
      <c r="KE31" s="55"/>
      <c r="KF31" s="55"/>
      <c r="KG31" s="55"/>
      <c r="KH31" s="55"/>
      <c r="KI31" s="55"/>
      <c r="KJ31" s="55"/>
      <c r="KK31" s="55"/>
      <c r="KL31" s="55"/>
      <c r="KM31" s="55"/>
      <c r="KN31" s="55"/>
      <c r="KO31" s="55"/>
      <c r="KP31" s="55"/>
      <c r="KQ31" s="55"/>
      <c r="KR31" s="55"/>
      <c r="KS31" s="55"/>
      <c r="KT31" s="55"/>
      <c r="KU31" s="55"/>
      <c r="KV31" s="55"/>
      <c r="KW31" s="55"/>
      <c r="KX31" s="55"/>
      <c r="KY31" s="55"/>
      <c r="KZ31" s="55"/>
      <c r="LA31" s="55"/>
      <c r="LB31" s="55"/>
      <c r="LC31" s="55"/>
      <c r="LD31" s="55"/>
      <c r="LE31" s="55"/>
      <c r="LF31" s="55"/>
      <c r="LG31" s="55"/>
      <c r="LH31" s="55"/>
      <c r="LI31" s="55"/>
      <c r="LJ31" s="55"/>
      <c r="LK31" s="55"/>
      <c r="LL31" s="55"/>
      <c r="LM31" s="55"/>
      <c r="LN31" s="55"/>
      <c r="LO31" s="55"/>
      <c r="LP31" s="55"/>
      <c r="LQ31" s="55"/>
      <c r="LR31" s="55"/>
      <c r="LS31" s="55"/>
      <c r="LT31" s="55"/>
      <c r="LU31" s="55"/>
      <c r="LV31" s="55"/>
      <c r="LW31" s="55"/>
      <c r="LX31" s="55"/>
      <c r="LY31" s="55"/>
      <c r="LZ31" s="55"/>
      <c r="MA31" s="55"/>
      <c r="MB31" s="55"/>
      <c r="MC31" s="55"/>
      <c r="MD31" s="55"/>
      <c r="ME31" s="59"/>
      <c r="MF31" s="55"/>
      <c r="MG31" s="55"/>
      <c r="MH31" s="55"/>
      <c r="MI31" s="55"/>
      <c r="MJ31" s="55"/>
      <c r="MK31" s="55"/>
      <c r="ML31" s="55"/>
      <c r="MM31" s="55"/>
      <c r="MN31" s="55"/>
      <c r="MO31" s="55"/>
      <c r="MP31" s="55"/>
      <c r="MQ31" s="55"/>
      <c r="MR31" s="55"/>
      <c r="MS31" s="55"/>
      <c r="MT31" s="55"/>
      <c r="MU31" s="55"/>
      <c r="MV31" s="55"/>
      <c r="MW31" s="55"/>
      <c r="MX31" s="55"/>
      <c r="MY31" s="55"/>
      <c r="MZ31" s="55"/>
      <c r="NA31" s="55"/>
      <c r="NB31" s="55"/>
      <c r="NC31" s="55"/>
      <c r="ND31" s="55"/>
      <c r="NE31" s="55"/>
      <c r="NF31" s="55"/>
      <c r="NG31" s="55"/>
      <c r="NH31" s="55"/>
      <c r="NI31" s="55"/>
      <c r="NJ31" s="2"/>
      <c r="NK31" s="15" cm="1">
        <f t="array" aca="1" ref="NK31" ca="1">SUMPRODUCT((OFFSET($B31,0,31*($B$5-1)+1,1,31)&lt;&gt;"")*(IF(OFFSET($B31,0,31*($B$5-1)+1,1,31)=$NY$12,0.5,IF(OFFSET($B31,0,31*($B$5-1)+1,1,31)=$NY$13,0.5,1))*(OFFSET($B$6,0,31*($B$5-1)+1,1,31))))</f>
        <v>0</v>
      </c>
      <c r="NL31" s="19" cm="1">
        <f t="array" aca="1" ref="NL31" ca="1">SUMPRODUCT((OFFSET($B31,0,1,1,372)&lt;&gt;"")*(IF(OFFSET($B31,0,1,1,372)=$NY$12,0.5,IF(OFFSET($B31,0,1,1,372)=$NY$13,0.5,1))*(OFFSET($B$5,0,1,1,372))))</f>
        <v>0</v>
      </c>
      <c r="NM31" s="38">
        <f t="shared" ca="1" si="7"/>
        <v>0</v>
      </c>
      <c r="NN31" s="38">
        <f t="shared" ca="1" si="7"/>
        <v>0</v>
      </c>
      <c r="NO31" s="38">
        <f t="shared" ca="1" si="7"/>
        <v>0</v>
      </c>
      <c r="NP31" s="38">
        <f t="shared" ca="1" si="7"/>
        <v>0</v>
      </c>
      <c r="NQ31" s="38">
        <f t="shared" ca="1" si="7"/>
        <v>0</v>
      </c>
      <c r="NR31" s="38">
        <f t="shared" ca="1" si="11"/>
        <v>0</v>
      </c>
      <c r="NS31" s="38">
        <f t="shared" ca="1" si="8"/>
        <v>0</v>
      </c>
      <c r="NX31" s="17" t="s">
        <v>16</v>
      </c>
      <c r="NY31" s="17" t="s">
        <v>30</v>
      </c>
    </row>
    <row r="32" spans="1:390" x14ac:dyDescent="0.35">
      <c r="A32" s="52"/>
      <c r="B32" s="30" t="s">
        <v>74</v>
      </c>
      <c r="C32" s="55"/>
      <c r="D32" s="59"/>
      <c r="E32" s="55"/>
      <c r="F32" s="55"/>
      <c r="G32" s="55"/>
      <c r="H32" s="59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55"/>
      <c r="CO32" s="55"/>
      <c r="CP32" s="55"/>
      <c r="CQ32" s="55"/>
      <c r="CR32" s="55"/>
      <c r="CS32" s="55"/>
      <c r="CT32" s="55"/>
      <c r="CU32" s="55"/>
      <c r="CV32" s="55"/>
      <c r="CW32" s="55"/>
      <c r="CX32" s="55"/>
      <c r="CY32" s="55"/>
      <c r="CZ32" s="55"/>
      <c r="DA32" s="55"/>
      <c r="DB32" s="55"/>
      <c r="DC32" s="55"/>
      <c r="DD32" s="55"/>
      <c r="DE32" s="55"/>
      <c r="DF32" s="55"/>
      <c r="DG32" s="55"/>
      <c r="DH32" s="55"/>
      <c r="DI32" s="55"/>
      <c r="DJ32" s="55"/>
      <c r="DK32" s="55"/>
      <c r="DL32" s="55"/>
      <c r="DM32" s="55"/>
      <c r="DN32" s="55"/>
      <c r="DO32" s="55"/>
      <c r="DP32" s="55"/>
      <c r="DQ32" s="55"/>
      <c r="DR32" s="55"/>
      <c r="DS32" s="55"/>
      <c r="DT32" s="55"/>
      <c r="DU32" s="55"/>
      <c r="DV32" s="55"/>
      <c r="DW32" s="55"/>
      <c r="DX32" s="55"/>
      <c r="DY32" s="55"/>
      <c r="DZ32" s="55"/>
      <c r="EA32" s="55"/>
      <c r="EB32" s="55"/>
      <c r="EC32" s="55"/>
      <c r="ED32" s="55"/>
      <c r="EE32" s="55"/>
      <c r="EF32" s="55"/>
      <c r="EG32" s="55"/>
      <c r="EH32" s="55"/>
      <c r="EI32" s="55"/>
      <c r="EJ32" s="55"/>
      <c r="EK32" s="55"/>
      <c r="EL32" s="55"/>
      <c r="EM32" s="55"/>
      <c r="EN32" s="55"/>
      <c r="EO32" s="55"/>
      <c r="EP32" s="55"/>
      <c r="EQ32" s="55"/>
      <c r="ER32" s="55"/>
      <c r="ES32" s="55"/>
      <c r="ET32" s="55"/>
      <c r="EU32" s="55"/>
      <c r="EV32" s="55"/>
      <c r="EW32" s="55"/>
      <c r="EX32" s="55"/>
      <c r="EY32" s="55"/>
      <c r="EZ32" s="55"/>
      <c r="FA32" s="55"/>
      <c r="FB32" s="55"/>
      <c r="FC32" s="55"/>
      <c r="FD32" s="55"/>
      <c r="FE32" s="55"/>
      <c r="FF32" s="55"/>
      <c r="FG32" s="55"/>
      <c r="FH32" s="55"/>
      <c r="FI32" s="55"/>
      <c r="FJ32" s="55"/>
      <c r="FK32" s="55"/>
      <c r="FL32" s="55"/>
      <c r="FM32" s="55"/>
      <c r="FN32" s="55"/>
      <c r="FO32" s="55"/>
      <c r="FP32" s="55"/>
      <c r="FQ32" s="55"/>
      <c r="FR32" s="55"/>
      <c r="FS32" s="55"/>
      <c r="FT32" s="55"/>
      <c r="FU32" s="55"/>
      <c r="FV32" s="55"/>
      <c r="FW32" s="55"/>
      <c r="FX32" s="55"/>
      <c r="FY32" s="55"/>
      <c r="FZ32" s="55"/>
      <c r="GA32" s="55"/>
      <c r="GB32" s="55"/>
      <c r="GC32" s="55"/>
      <c r="GD32" s="55"/>
      <c r="GE32" s="55"/>
      <c r="GF32" s="55"/>
      <c r="GG32" s="55"/>
      <c r="GH32" s="55"/>
      <c r="GI32" s="55"/>
      <c r="GJ32" s="55"/>
      <c r="GK32" s="55"/>
      <c r="GL32" s="55"/>
      <c r="GM32" s="55"/>
      <c r="GN32" s="55"/>
      <c r="GO32" s="55"/>
      <c r="GP32" s="55"/>
      <c r="GQ32" s="55"/>
      <c r="GR32" s="55"/>
      <c r="GS32" s="55"/>
      <c r="GT32" s="55"/>
      <c r="GU32" s="55"/>
      <c r="GV32" s="55"/>
      <c r="GW32" s="55"/>
      <c r="GX32" s="55"/>
      <c r="GY32" s="55"/>
      <c r="GZ32" s="55"/>
      <c r="HA32" s="55"/>
      <c r="HB32" s="55"/>
      <c r="HC32" s="55"/>
      <c r="HD32" s="55"/>
      <c r="HE32" s="55"/>
      <c r="HF32" s="55"/>
      <c r="HG32" s="55"/>
      <c r="HH32" s="55"/>
      <c r="HI32" s="55"/>
      <c r="HJ32" s="55"/>
      <c r="HK32" s="55"/>
      <c r="HL32" s="55"/>
      <c r="HM32" s="55"/>
      <c r="HN32" s="55"/>
      <c r="HO32" s="55"/>
      <c r="HP32" s="55"/>
      <c r="HQ32" s="55"/>
      <c r="HR32" s="55"/>
      <c r="HS32" s="55"/>
      <c r="HT32" s="55"/>
      <c r="HU32" s="55"/>
      <c r="HV32" s="55"/>
      <c r="HW32" s="55"/>
      <c r="HX32" s="55"/>
      <c r="HY32" s="55"/>
      <c r="HZ32" s="55"/>
      <c r="IA32" s="55"/>
      <c r="IB32" s="55"/>
      <c r="IC32" s="55"/>
      <c r="ID32" s="55"/>
      <c r="IE32" s="55"/>
      <c r="IF32" s="55"/>
      <c r="IG32" s="55"/>
      <c r="IH32" s="55"/>
      <c r="II32" s="55"/>
      <c r="IJ32" s="55"/>
      <c r="IK32" s="55"/>
      <c r="IL32" s="55"/>
      <c r="IM32" s="55"/>
      <c r="IN32" s="55"/>
      <c r="IO32" s="55"/>
      <c r="IP32" s="55"/>
      <c r="IQ32" s="55"/>
      <c r="IR32" s="55"/>
      <c r="IS32" s="55"/>
      <c r="IT32" s="55"/>
      <c r="IU32" s="55"/>
      <c r="IV32" s="55"/>
      <c r="IW32" s="55"/>
      <c r="IX32" s="55"/>
      <c r="IY32" s="55"/>
      <c r="IZ32" s="55"/>
      <c r="JA32" s="55"/>
      <c r="JB32" s="55"/>
      <c r="JC32" s="55"/>
      <c r="JD32" s="55"/>
      <c r="JE32" s="55"/>
      <c r="JF32" s="55"/>
      <c r="JG32" s="55"/>
      <c r="JH32" s="55"/>
      <c r="JI32" s="55"/>
      <c r="JJ32" s="55"/>
      <c r="JK32" s="55"/>
      <c r="JL32" s="55"/>
      <c r="JM32" s="55"/>
      <c r="JN32" s="55"/>
      <c r="JO32" s="55"/>
      <c r="JP32" s="55"/>
      <c r="JQ32" s="55"/>
      <c r="JR32" s="55"/>
      <c r="JS32" s="55"/>
      <c r="JT32" s="55"/>
      <c r="JU32" s="55"/>
      <c r="JV32" s="55"/>
      <c r="JW32" s="55"/>
      <c r="JX32" s="55"/>
      <c r="JY32" s="55"/>
      <c r="JZ32" s="55"/>
      <c r="KA32" s="55"/>
      <c r="KB32" s="55"/>
      <c r="KC32" s="55"/>
      <c r="KD32" s="55"/>
      <c r="KE32" s="55"/>
      <c r="KF32" s="55"/>
      <c r="KG32" s="55"/>
      <c r="KH32" s="55"/>
      <c r="KI32" s="55"/>
      <c r="KJ32" s="55"/>
      <c r="KK32" s="55"/>
      <c r="KL32" s="55"/>
      <c r="KM32" s="55"/>
      <c r="KN32" s="55"/>
      <c r="KO32" s="55"/>
      <c r="KP32" s="55"/>
      <c r="KQ32" s="55"/>
      <c r="KR32" s="55"/>
      <c r="KS32" s="55"/>
      <c r="KT32" s="55"/>
      <c r="KU32" s="55"/>
      <c r="KV32" s="55"/>
      <c r="KW32" s="55"/>
      <c r="KX32" s="55"/>
      <c r="KY32" s="55"/>
      <c r="KZ32" s="55"/>
      <c r="LA32" s="55"/>
      <c r="LB32" s="55"/>
      <c r="LC32" s="55"/>
      <c r="LD32" s="55"/>
      <c r="LE32" s="55"/>
      <c r="LF32" s="55"/>
      <c r="LG32" s="55"/>
      <c r="LH32" s="55"/>
      <c r="LI32" s="55"/>
      <c r="LJ32" s="55"/>
      <c r="LK32" s="55"/>
      <c r="LL32" s="55"/>
      <c r="LM32" s="55"/>
      <c r="LN32" s="55"/>
      <c r="LO32" s="55"/>
      <c r="LP32" s="55"/>
      <c r="LQ32" s="55"/>
      <c r="LR32" s="55"/>
      <c r="LS32" s="55"/>
      <c r="LT32" s="55"/>
      <c r="LU32" s="55"/>
      <c r="LV32" s="55"/>
      <c r="LW32" s="55"/>
      <c r="LX32" s="55"/>
      <c r="LY32" s="55"/>
      <c r="LZ32" s="55"/>
      <c r="MA32" s="55"/>
      <c r="MB32" s="55"/>
      <c r="MC32" s="55"/>
      <c r="MD32" s="55"/>
      <c r="ME32" s="59"/>
      <c r="MF32" s="55"/>
      <c r="MG32" s="55"/>
      <c r="MH32" s="55"/>
      <c r="MI32" s="55"/>
      <c r="MJ32" s="55"/>
      <c r="MK32" s="55"/>
      <c r="ML32" s="55"/>
      <c r="MM32" s="55"/>
      <c r="MN32" s="55"/>
      <c r="MO32" s="55"/>
      <c r="MP32" s="55"/>
      <c r="MQ32" s="55"/>
      <c r="MR32" s="55"/>
      <c r="MS32" s="55"/>
      <c r="MT32" s="55"/>
      <c r="MU32" s="55"/>
      <c r="MV32" s="55"/>
      <c r="MW32" s="55"/>
      <c r="MX32" s="55"/>
      <c r="MY32" s="55"/>
      <c r="MZ32" s="55"/>
      <c r="NA32" s="55"/>
      <c r="NB32" s="55"/>
      <c r="NC32" s="55"/>
      <c r="ND32" s="55"/>
      <c r="NE32" s="55"/>
      <c r="NF32" s="55"/>
      <c r="NG32" s="55"/>
      <c r="NH32" s="55"/>
      <c r="NI32" s="55"/>
      <c r="NJ32" s="2"/>
      <c r="NK32" s="15" cm="1">
        <f t="array" aca="1" ref="NK32" ca="1">SUMPRODUCT((OFFSET($B32,0,31*($B$5-1)+1,1,31)&lt;&gt;"")*(IF(OFFSET($B32,0,31*($B$5-1)+1,1,31)=$NY$12,0.5,IF(OFFSET($B32,0,31*($B$5-1)+1,1,31)=$NY$13,0.5,1))*(OFFSET($B$6,0,31*($B$5-1)+1,1,31))))</f>
        <v>0</v>
      </c>
      <c r="NL32" s="19" cm="1">
        <f t="array" aca="1" ref="NL32" ca="1">SUMPRODUCT((OFFSET($B32,0,1,1,372)&lt;&gt;"")*(IF(OFFSET($B32,0,1,1,372)=$NY$12,0.5,IF(OFFSET($B32,0,1,1,372)=$NY$13,0.5,1))*(OFFSET($B$5,0,1,1,372))))</f>
        <v>0</v>
      </c>
      <c r="NM32" s="38">
        <f t="shared" ca="1" si="7"/>
        <v>0</v>
      </c>
      <c r="NN32" s="38">
        <f t="shared" ca="1" si="7"/>
        <v>0</v>
      </c>
      <c r="NO32" s="38">
        <f t="shared" ca="1" si="7"/>
        <v>0</v>
      </c>
      <c r="NP32" s="38">
        <f t="shared" ca="1" si="7"/>
        <v>0</v>
      </c>
      <c r="NQ32" s="38">
        <f t="shared" ca="1" si="7"/>
        <v>0</v>
      </c>
      <c r="NR32" s="38">
        <f t="shared" ca="1" si="11"/>
        <v>0</v>
      </c>
      <c r="NS32" s="38">
        <f t="shared" ca="1" si="8"/>
        <v>0</v>
      </c>
      <c r="NX32" s="17" t="s">
        <v>17</v>
      </c>
      <c r="NY32" s="17" t="s">
        <v>30</v>
      </c>
    </row>
    <row r="33" spans="1:383" x14ac:dyDescent="0.35">
      <c r="B33" s="30" t="s">
        <v>74</v>
      </c>
      <c r="C33" s="2"/>
      <c r="D33" s="2"/>
      <c r="E33" s="2"/>
      <c r="F33" s="2"/>
      <c r="G33" s="2"/>
      <c r="H33" s="37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15" cm="1">
        <f t="array" aca="1" ref="NK33" ca="1">SUMPRODUCT((OFFSET($B33,0,31*($B$5-1)+1,1,31)&lt;&gt;"")*(IF(OFFSET($B33,0,31*($B$5-1)+1,1,31)=$NY$12,0.5,IF(OFFSET($B33,0,31*($B$5-1)+1,1,31)=$NY$13,0.5,1))*(OFFSET($B$6,0,31*($B$5-1)+1,1,31))))</f>
        <v>0</v>
      </c>
      <c r="NL33" s="19" cm="1">
        <f t="array" aca="1" ref="NL33" ca="1">SUMPRODUCT((OFFSET($B33,0,1,1,372)&lt;&gt;"")*(IF(OFFSET($B33,0,1,1,372)=$NY$12,0.5,IF(OFFSET($B33,0,1,1,372)=$NY$13,0.5,1))*(OFFSET($B$5,0,1,1,372))))</f>
        <v>0</v>
      </c>
      <c r="NM33" s="38">
        <f t="shared" ca="1" si="7"/>
        <v>0</v>
      </c>
      <c r="NN33" s="38">
        <f t="shared" ca="1" si="7"/>
        <v>0</v>
      </c>
      <c r="NO33" s="38">
        <f t="shared" ca="1" si="7"/>
        <v>0</v>
      </c>
      <c r="NP33" s="38">
        <f t="shared" ca="1" si="7"/>
        <v>0</v>
      </c>
      <c r="NQ33" s="38">
        <f t="shared" ca="1" si="7"/>
        <v>0</v>
      </c>
      <c r="NR33" s="38">
        <f t="shared" ca="1" si="11"/>
        <v>0</v>
      </c>
      <c r="NS33" s="38">
        <f t="shared" ca="1" si="8"/>
        <v>0</v>
      </c>
    </row>
    <row r="34" spans="1:383" x14ac:dyDescent="0.35">
      <c r="B34" s="30" t="s">
        <v>74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15" cm="1">
        <f t="array" aca="1" ref="NK34" ca="1">SUMPRODUCT((OFFSET($B34,0,31*($B$5-1)+1,1,31)&lt;&gt;"")*(IF(OFFSET($B34,0,31*($B$5-1)+1,1,31)=$NY$12,0.5,IF(OFFSET($B34,0,31*($B$5-1)+1,1,31)=$NY$13,0.5,1))*(OFFSET($B$6,0,31*($B$5-1)+1,1,31))))</f>
        <v>0</v>
      </c>
      <c r="NL34" s="19" cm="1">
        <f t="array" aca="1" ref="NL34" ca="1">SUMPRODUCT((OFFSET($B34,0,1,1,372)&lt;&gt;"")*(IF(OFFSET($B34,0,1,1,372)=$NY$12,0.5,IF(OFFSET($B34,0,1,1,372)=$NY$13,0.5,1))*(OFFSET($B$5,0,1,1,372))))</f>
        <v>0</v>
      </c>
      <c r="NM34" s="38">
        <f t="shared" ca="1" si="7"/>
        <v>0</v>
      </c>
      <c r="NN34" s="38">
        <f t="shared" ca="1" si="7"/>
        <v>0</v>
      </c>
      <c r="NO34" s="38">
        <f t="shared" ca="1" si="7"/>
        <v>0</v>
      </c>
      <c r="NP34" s="38">
        <f t="shared" ca="1" si="7"/>
        <v>0</v>
      </c>
      <c r="NQ34" s="38">
        <f t="shared" ca="1" si="7"/>
        <v>0</v>
      </c>
      <c r="NR34" s="38">
        <f t="shared" ca="1" si="11"/>
        <v>0</v>
      </c>
      <c r="NS34" s="38">
        <f t="shared" ca="1" si="8"/>
        <v>0</v>
      </c>
    </row>
    <row r="35" spans="1:383" x14ac:dyDescent="0.35">
      <c r="B35" s="30" t="s">
        <v>74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15" cm="1">
        <f t="array" aca="1" ref="NK35" ca="1">SUMPRODUCT((OFFSET($B35,0,31*($B$5-1)+1,1,31)&lt;&gt;"")*(IF(OFFSET($B35,0,31*($B$5-1)+1,1,31)=$NY$12,0.5,IF(OFFSET($B35,0,31*($B$5-1)+1,1,31)=$NY$13,0.5,1))*(OFFSET($B$6,0,31*($B$5-1)+1,1,31))))</f>
        <v>0</v>
      </c>
      <c r="NL35" s="19" cm="1">
        <f t="array" aca="1" ref="NL35" ca="1">SUMPRODUCT((OFFSET($B35,0,1,1,372)&lt;&gt;"")*(IF(OFFSET($B35,0,1,1,372)=$NY$12,0.5,IF(OFFSET($B35,0,1,1,372)=$NY$13,0.5,1))*(OFFSET($B$5,0,1,1,372))))</f>
        <v>0</v>
      </c>
      <c r="NM35" s="38">
        <f t="shared" ca="1" si="7"/>
        <v>0</v>
      </c>
      <c r="NN35" s="38">
        <f t="shared" ca="1" si="7"/>
        <v>0</v>
      </c>
      <c r="NO35" s="38">
        <f t="shared" ca="1" si="7"/>
        <v>0</v>
      </c>
      <c r="NP35" s="38">
        <f t="shared" ca="1" si="7"/>
        <v>0</v>
      </c>
      <c r="NQ35" s="38">
        <f t="shared" ca="1" si="7"/>
        <v>0</v>
      </c>
      <c r="NR35" s="38">
        <f t="shared" ca="1" si="11"/>
        <v>0</v>
      </c>
      <c r="NS35" s="38">
        <f t="shared" ca="1" si="8"/>
        <v>0</v>
      </c>
    </row>
    <row r="36" spans="1:383" x14ac:dyDescent="0.35">
      <c r="B36" s="30" t="s">
        <v>74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15" cm="1">
        <f t="array" aca="1" ref="NK36" ca="1">SUMPRODUCT((OFFSET($B36,0,31*($B$5-1)+1,1,31)&lt;&gt;"")*(IF(OFFSET($B36,0,31*($B$5-1)+1,1,31)=$NY$12,0.5,IF(OFFSET($B36,0,31*($B$5-1)+1,1,31)=$NY$13,0.5,1))*(OFFSET($B$6,0,31*($B$5-1)+1,1,31))))</f>
        <v>0</v>
      </c>
      <c r="NL36" s="19" cm="1">
        <f t="array" aca="1" ref="NL36" ca="1">SUMPRODUCT((OFFSET($B36,0,1,1,372)&lt;&gt;"")*(IF(OFFSET($B36,0,1,1,372)=$NY$12,0.5,IF(OFFSET($B36,0,1,1,372)=$NY$13,0.5,1))*(OFFSET($B$5,0,1,1,372))))</f>
        <v>0</v>
      </c>
      <c r="NM36" s="38">
        <f t="shared" ca="1" si="7"/>
        <v>0</v>
      </c>
      <c r="NN36" s="38">
        <f t="shared" ca="1" si="7"/>
        <v>0</v>
      </c>
      <c r="NO36" s="38">
        <f t="shared" ca="1" si="7"/>
        <v>0</v>
      </c>
      <c r="NP36" s="38">
        <f t="shared" ca="1" si="7"/>
        <v>0</v>
      </c>
      <c r="NQ36" s="38">
        <f t="shared" ca="1" si="7"/>
        <v>0</v>
      </c>
      <c r="NR36" s="38">
        <f t="shared" ca="1" si="11"/>
        <v>0</v>
      </c>
      <c r="NS36" s="38">
        <f t="shared" ca="1" si="8"/>
        <v>0</v>
      </c>
    </row>
    <row r="37" spans="1:383" x14ac:dyDescent="0.35">
      <c r="B37" s="30" t="s">
        <v>74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15" cm="1">
        <f t="array" aca="1" ref="NK37" ca="1">SUMPRODUCT((OFFSET($B37,0,31*($B$5-1)+1,1,31)&lt;&gt;"")*(IF(OFFSET($B37,0,31*($B$5-1)+1,1,31)=$NY$12,0.5,IF(OFFSET($B37,0,31*($B$5-1)+1,1,31)=$NY$13,0.5,1))*(OFFSET($B$6,0,31*($B$5-1)+1,1,31))))</f>
        <v>0</v>
      </c>
      <c r="NL37" s="19" cm="1">
        <f t="array" aca="1" ref="NL37" ca="1">SUMPRODUCT((OFFSET($B37,0,1,1,372)&lt;&gt;"")*(IF(OFFSET($B37,0,1,1,372)=$NY$12,0.5,IF(OFFSET($B37,0,1,1,372)=$NY$13,0.5,1))*(OFFSET($B$5,0,1,1,372))))</f>
        <v>0</v>
      </c>
      <c r="NM37" s="38">
        <f t="shared" ca="1" si="7"/>
        <v>0</v>
      </c>
      <c r="NN37" s="38">
        <f t="shared" ca="1" si="7"/>
        <v>0</v>
      </c>
      <c r="NO37" s="38">
        <f t="shared" ca="1" si="7"/>
        <v>0</v>
      </c>
      <c r="NP37" s="38">
        <f t="shared" ca="1" si="7"/>
        <v>0</v>
      </c>
      <c r="NQ37" s="38">
        <f t="shared" ca="1" si="7"/>
        <v>0</v>
      </c>
      <c r="NR37" s="38">
        <f t="shared" ca="1" si="11"/>
        <v>0</v>
      </c>
      <c r="NS37" s="38">
        <f t="shared" ca="1" si="8"/>
        <v>0</v>
      </c>
    </row>
    <row r="38" spans="1:383" x14ac:dyDescent="0.35">
      <c r="B38" s="30" t="s">
        <v>74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15" cm="1">
        <f t="array" aca="1" ref="NK38" ca="1">SUMPRODUCT((OFFSET($B38,0,31*($B$5-1)+1,1,31)&lt;&gt;"")*(IF(OFFSET($B38,0,31*($B$5-1)+1,1,31)=$NY$12,0.5,IF(OFFSET($B38,0,31*($B$5-1)+1,1,31)=$NY$13,0.5,1))*(OFFSET($B$6,0,31*($B$5-1)+1,1,31))))</f>
        <v>0</v>
      </c>
      <c r="NL38" s="19" cm="1">
        <f t="array" aca="1" ref="NL38" ca="1">SUMPRODUCT((OFFSET($B38,0,1,1,372)&lt;&gt;"")*(IF(OFFSET($B38,0,1,1,372)=$NY$12,0.5,IF(OFFSET($B38,0,1,1,372)=$NY$13,0.5,1))*(OFFSET($B$5,0,1,1,372))))</f>
        <v>0</v>
      </c>
      <c r="NM38" s="38"/>
      <c r="NN38" s="38"/>
      <c r="NO38" s="38"/>
      <c r="NP38" s="38"/>
      <c r="NQ38" s="38"/>
      <c r="NR38" s="38"/>
      <c r="NS38" s="38"/>
    </row>
    <row r="39" spans="1:383" x14ac:dyDescent="0.35">
      <c r="B39" s="63" t="s">
        <v>75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37"/>
      <c r="MJ39" s="37"/>
      <c r="MK39" s="37"/>
      <c r="ML39" s="37"/>
      <c r="MM39" s="37"/>
      <c r="MN39" s="2"/>
      <c r="MO39" s="2"/>
      <c r="MP39" s="37"/>
      <c r="MQ39" s="37"/>
      <c r="MR39" s="37"/>
      <c r="MS39" s="37"/>
      <c r="MT39" s="37"/>
      <c r="MU39" s="2"/>
      <c r="MV39" s="2"/>
      <c r="MW39" s="37"/>
      <c r="MX39" s="37"/>
      <c r="MY39" s="37"/>
      <c r="MZ39" s="37"/>
      <c r="NA39" s="37"/>
      <c r="NB39" s="2"/>
      <c r="NC39" s="2"/>
      <c r="ND39" s="2"/>
      <c r="NE39" s="37"/>
      <c r="NF39" s="37"/>
      <c r="NG39" s="37"/>
      <c r="NH39" s="37"/>
      <c r="NI39" s="2"/>
      <c r="NJ39" s="2"/>
      <c r="NK39" s="15" cm="1">
        <f t="array" aca="1" ref="NK39" ca="1">SUMPRODUCT((OFFSET($B39,0,31*($B$5-1)+1,1,31)&lt;&gt;"")*(IF(OFFSET($B39,0,31*($B$5-1)+1,1,31)=$NY$12,0.5,IF(OFFSET($B39,0,31*($B$5-1)+1,1,31)=$NY$13,0.5,1))*(OFFSET($B$6,0,31*($B$5-1)+1,1,31))))</f>
        <v>0</v>
      </c>
      <c r="NL39" s="19" cm="1">
        <f t="array" aca="1" ref="NL39" ca="1">SUMPRODUCT((OFFSET($B39,0,1,1,372)&lt;&gt;"")*(IF(OFFSET($B39,0,1,1,372)=$NY$12,0.5,IF(OFFSET($B39,0,1,1,372)=$NY$13,0.5,1))*(OFFSET($B$5,0,1,1,372))))</f>
        <v>0</v>
      </c>
      <c r="NM39" s="38">
        <f t="shared" ca="1" si="7"/>
        <v>0</v>
      </c>
      <c r="NN39" s="38">
        <f t="shared" ca="1" si="7"/>
        <v>0</v>
      </c>
      <c r="NO39" s="38">
        <f t="shared" ca="1" si="7"/>
        <v>0</v>
      </c>
      <c r="NP39" s="38">
        <f t="shared" ca="1" si="7"/>
        <v>0</v>
      </c>
      <c r="NQ39" s="38">
        <f t="shared" ca="1" si="7"/>
        <v>0</v>
      </c>
      <c r="NR39" s="38">
        <f t="shared" ca="1" si="11"/>
        <v>0</v>
      </c>
      <c r="NS39" s="38">
        <f t="shared" ca="1" si="8"/>
        <v>0</v>
      </c>
    </row>
    <row r="40" spans="1:383" x14ac:dyDescent="0.35">
      <c r="B40" s="53" t="s">
        <v>76</v>
      </c>
      <c r="C40" s="2"/>
      <c r="D40" s="37"/>
      <c r="E40" s="37"/>
      <c r="F40" s="37"/>
      <c r="G40" s="37"/>
      <c r="H40" s="37"/>
      <c r="I40" s="2"/>
      <c r="J40" s="2"/>
      <c r="K40" s="37"/>
      <c r="L40" s="37"/>
      <c r="M40" s="37"/>
      <c r="N40" s="37"/>
      <c r="O40" s="37"/>
      <c r="P40" s="2"/>
      <c r="Q40" s="2"/>
      <c r="R40" s="37"/>
      <c r="S40" s="37"/>
      <c r="T40" s="37"/>
      <c r="U40" s="37"/>
      <c r="V40" s="37"/>
      <c r="W40" s="2"/>
      <c r="X40" s="2"/>
      <c r="Y40" s="37"/>
      <c r="Z40" s="37"/>
      <c r="AA40" s="37"/>
      <c r="AB40" s="37"/>
      <c r="AC40" s="37"/>
      <c r="AD40" s="2"/>
      <c r="AE40" s="2"/>
      <c r="AF40" s="37"/>
      <c r="AG40" s="37"/>
      <c r="AH40" s="37"/>
      <c r="AI40" s="37"/>
      <c r="AJ40" s="37"/>
      <c r="AK40" s="2"/>
      <c r="AL40" s="2"/>
      <c r="AM40" s="37"/>
      <c r="AN40" s="37"/>
      <c r="AO40" s="37"/>
      <c r="AP40" s="37"/>
      <c r="AQ40" s="37"/>
      <c r="AR40" s="2"/>
      <c r="AS40" s="2"/>
      <c r="AT40" s="37"/>
      <c r="AU40" s="37"/>
      <c r="AV40" s="37"/>
      <c r="AW40" s="37"/>
      <c r="AX40" s="37"/>
      <c r="AY40" s="2"/>
      <c r="AZ40" s="2"/>
      <c r="BA40" s="2"/>
      <c r="BB40" s="37"/>
      <c r="BC40" s="37"/>
      <c r="BD40" s="37"/>
      <c r="BE40" s="37"/>
      <c r="BF40" s="2"/>
      <c r="BG40" s="2"/>
      <c r="BH40" s="37"/>
      <c r="BI40" s="37"/>
      <c r="BJ40" s="37"/>
      <c r="BK40" s="37"/>
      <c r="BL40" s="37"/>
      <c r="BM40" s="37"/>
      <c r="BN40" s="37"/>
      <c r="BO40" s="37"/>
      <c r="BP40" s="2"/>
      <c r="BQ40" s="2"/>
      <c r="BR40" s="37"/>
      <c r="BS40" s="37"/>
      <c r="BT40" s="37"/>
      <c r="BU40" s="37"/>
      <c r="BV40" s="37"/>
      <c r="BW40" s="2"/>
      <c r="BX40" s="2"/>
      <c r="BY40" s="37"/>
      <c r="BZ40" s="37"/>
      <c r="CA40" s="37"/>
      <c r="CB40" s="37"/>
      <c r="CC40" s="37"/>
      <c r="CD40" s="2"/>
      <c r="CE40" s="2"/>
      <c r="CF40" s="37"/>
      <c r="CG40" s="37"/>
      <c r="CH40" s="37"/>
      <c r="CI40" s="37"/>
      <c r="CJ40" s="37"/>
      <c r="CK40" s="2"/>
      <c r="CL40" s="2"/>
      <c r="CM40" s="37"/>
      <c r="CN40" s="37"/>
      <c r="CO40" s="37"/>
      <c r="CP40" s="37"/>
      <c r="CQ40" s="37"/>
      <c r="CR40" s="2"/>
      <c r="CS40" s="2"/>
      <c r="CT40" s="37"/>
      <c r="CU40" s="37"/>
      <c r="CV40" s="37"/>
      <c r="CW40" s="37"/>
      <c r="CX40" s="37"/>
      <c r="CY40" s="2"/>
      <c r="CZ40" s="2"/>
      <c r="DA40" s="37"/>
      <c r="DB40" s="37"/>
      <c r="DC40" s="37"/>
      <c r="DD40" s="37"/>
      <c r="DE40" s="37"/>
      <c r="DF40" s="2"/>
      <c r="DG40" s="2"/>
      <c r="DH40" s="37"/>
      <c r="DI40" s="37"/>
      <c r="DJ40" s="37"/>
      <c r="DK40" s="37"/>
      <c r="DL40" s="37"/>
      <c r="DM40" s="2"/>
      <c r="DN40" s="2"/>
      <c r="DO40" s="37"/>
      <c r="DP40" s="37"/>
      <c r="DQ40" s="37"/>
      <c r="DR40" s="37"/>
      <c r="DS40" s="37"/>
      <c r="DT40" s="2"/>
      <c r="DU40" s="37"/>
      <c r="DV40" s="2"/>
      <c r="DW40" s="37"/>
      <c r="DX40" s="37"/>
      <c r="DY40" s="37"/>
      <c r="DZ40" s="37"/>
      <c r="EA40" s="37"/>
      <c r="EB40" s="2"/>
      <c r="EC40" s="2"/>
      <c r="ED40" s="37"/>
      <c r="EE40" s="37"/>
      <c r="EF40" s="37"/>
      <c r="EG40" s="37"/>
      <c r="EH40" s="37"/>
      <c r="EI40" s="2"/>
      <c r="EJ40" s="2"/>
      <c r="EK40" s="37"/>
      <c r="EL40" s="37"/>
      <c r="EM40" s="37"/>
      <c r="EN40" s="37"/>
      <c r="EO40" s="37"/>
      <c r="EP40" s="2"/>
      <c r="EQ40" s="2"/>
      <c r="ER40" s="37"/>
      <c r="ES40" s="37"/>
      <c r="ET40" s="37"/>
      <c r="EU40" s="37"/>
      <c r="EV40" s="37"/>
      <c r="EW40" s="2"/>
      <c r="EX40" s="2"/>
      <c r="EY40" s="37"/>
      <c r="EZ40" s="37"/>
      <c r="FA40" s="37"/>
      <c r="FB40" s="37"/>
      <c r="FC40" s="37"/>
      <c r="FD40" s="2"/>
      <c r="FE40" s="2"/>
      <c r="FF40" s="37"/>
      <c r="FG40" s="37"/>
      <c r="FH40" s="37"/>
      <c r="FI40" s="37"/>
      <c r="FJ40" s="37"/>
      <c r="FK40" s="2"/>
      <c r="FL40" s="2"/>
      <c r="FM40" s="37"/>
      <c r="FN40" s="37"/>
      <c r="FO40" s="37"/>
      <c r="FP40" s="37"/>
      <c r="FQ40" s="37"/>
      <c r="FR40" s="2"/>
      <c r="FS40" s="2"/>
      <c r="FT40" s="37"/>
      <c r="FU40" s="37"/>
      <c r="FV40" s="37"/>
      <c r="FW40" s="37"/>
      <c r="FX40" s="37"/>
      <c r="FY40" s="2"/>
      <c r="FZ40" s="2"/>
      <c r="GA40" s="37"/>
      <c r="GB40" s="37"/>
      <c r="GC40" s="37"/>
      <c r="GD40" s="37"/>
      <c r="GE40" s="37"/>
      <c r="GF40" s="2"/>
      <c r="GG40" s="2"/>
      <c r="GH40" s="2"/>
      <c r="GI40" s="37"/>
      <c r="GJ40" s="37"/>
      <c r="GK40" s="37"/>
      <c r="GL40" s="37"/>
      <c r="GM40" s="37"/>
      <c r="GN40" s="2"/>
      <c r="GO40" s="2"/>
      <c r="GP40" s="37"/>
      <c r="GQ40" s="37"/>
      <c r="GR40" s="37"/>
      <c r="GS40" s="37"/>
      <c r="GT40" s="37"/>
      <c r="GU40" s="2"/>
      <c r="GV40" s="2"/>
      <c r="GW40" s="37"/>
      <c r="GX40" s="37"/>
      <c r="GY40" s="37"/>
      <c r="GZ40" s="37"/>
      <c r="HA40" s="37"/>
      <c r="HB40" s="2"/>
      <c r="HC40" s="2"/>
      <c r="HD40" s="37"/>
      <c r="HE40" s="37"/>
      <c r="HF40" s="37"/>
      <c r="HG40" s="37"/>
      <c r="HH40" s="37"/>
      <c r="HI40" s="2"/>
      <c r="HJ40" s="2"/>
      <c r="HK40" s="2"/>
      <c r="HL40" s="37"/>
      <c r="HM40" s="37"/>
      <c r="HN40" s="37"/>
      <c r="HO40" s="37"/>
      <c r="HP40" s="2"/>
      <c r="HQ40" s="2"/>
      <c r="HR40" s="37"/>
      <c r="HS40" s="37"/>
      <c r="HT40" s="37"/>
      <c r="HU40" s="37"/>
      <c r="HV40" s="37"/>
      <c r="HW40" s="2"/>
      <c r="HX40" s="2"/>
      <c r="HY40" s="37"/>
      <c r="HZ40" s="37"/>
      <c r="IA40" s="37"/>
      <c r="IB40" s="37"/>
      <c r="IC40" s="37"/>
      <c r="ID40" s="2"/>
      <c r="IE40" s="2"/>
      <c r="IF40" s="37"/>
      <c r="IG40" s="37"/>
      <c r="IH40" s="37"/>
      <c r="II40" s="37"/>
      <c r="IJ40" s="37"/>
      <c r="IK40" s="2"/>
      <c r="IL40" s="2"/>
      <c r="IM40" s="37"/>
      <c r="IN40" s="37"/>
      <c r="IO40" s="37"/>
      <c r="IP40" s="37"/>
      <c r="IQ40" s="37"/>
      <c r="IR40" s="2"/>
      <c r="IS40" s="2"/>
      <c r="IT40" s="2"/>
      <c r="IU40" s="37"/>
      <c r="IV40" s="37"/>
      <c r="IW40" s="37"/>
      <c r="IX40" s="37"/>
      <c r="IY40" s="2"/>
      <c r="IZ40" s="2"/>
      <c r="JA40" s="37"/>
      <c r="JB40" s="37"/>
      <c r="JC40" s="37"/>
      <c r="JD40" s="37"/>
      <c r="JE40" s="37"/>
      <c r="JF40" s="2"/>
      <c r="JG40" s="2"/>
      <c r="JH40" s="37"/>
      <c r="JI40" s="37"/>
      <c r="JJ40" s="37"/>
      <c r="JK40" s="37"/>
      <c r="JL40" s="37"/>
      <c r="JM40" s="2"/>
      <c r="JN40" s="2"/>
      <c r="JO40" s="37"/>
      <c r="JP40" s="37"/>
      <c r="JQ40" s="37"/>
      <c r="JR40" s="37"/>
      <c r="JS40" s="2"/>
      <c r="JT40" s="37"/>
      <c r="JU40" s="2"/>
      <c r="JV40" s="2"/>
      <c r="JW40" s="37"/>
      <c r="JX40" s="37"/>
      <c r="JY40" s="37"/>
      <c r="JZ40" s="37"/>
      <c r="KA40" s="37"/>
      <c r="KB40" s="2"/>
      <c r="KC40" s="2"/>
      <c r="KD40" s="2"/>
      <c r="KE40" s="37"/>
      <c r="KF40" s="37"/>
      <c r="KG40" s="37"/>
      <c r="KH40" s="37"/>
      <c r="KI40" s="2"/>
      <c r="KJ40" s="2"/>
      <c r="KK40" s="37"/>
      <c r="KL40" s="37"/>
      <c r="KM40" s="37"/>
      <c r="KN40" s="37"/>
      <c r="KO40" s="37"/>
      <c r="KP40" s="2"/>
      <c r="KQ40" s="2"/>
      <c r="KR40" s="37"/>
      <c r="KS40" s="37"/>
      <c r="KT40" s="37"/>
      <c r="KU40" s="37"/>
      <c r="KV40" s="37"/>
      <c r="KW40" s="2"/>
      <c r="KX40" s="2"/>
      <c r="KY40" s="37"/>
      <c r="KZ40" s="37"/>
      <c r="LA40" s="37"/>
      <c r="LB40" s="37"/>
      <c r="LC40" s="37"/>
      <c r="LD40" s="2"/>
      <c r="LE40" s="2"/>
      <c r="LF40" s="37"/>
      <c r="LG40" s="37"/>
      <c r="LH40" s="37"/>
      <c r="LI40" s="37"/>
      <c r="LJ40" s="2"/>
      <c r="LK40" s="2"/>
      <c r="LL40" s="2"/>
      <c r="LM40" s="37"/>
      <c r="LN40" s="37"/>
      <c r="LO40" s="37"/>
      <c r="LP40" s="37"/>
      <c r="LQ40" s="37"/>
      <c r="LR40" s="2"/>
      <c r="LS40" s="2"/>
      <c r="LT40" s="37"/>
      <c r="LU40" s="37"/>
      <c r="LV40" s="37"/>
      <c r="LW40" s="37"/>
      <c r="LX40" s="37"/>
      <c r="LY40" s="2"/>
      <c r="LZ40" s="2"/>
      <c r="MA40" s="37"/>
      <c r="MB40" s="37"/>
      <c r="MC40" s="37"/>
      <c r="MD40" s="37"/>
      <c r="ME40" s="37"/>
      <c r="MF40" s="37"/>
      <c r="MG40" s="2"/>
      <c r="MH40" s="2"/>
      <c r="MI40" s="37"/>
      <c r="MJ40" s="37"/>
      <c r="MK40" s="37"/>
      <c r="ML40" s="37"/>
      <c r="MM40" s="37"/>
      <c r="MN40" s="2"/>
      <c r="MO40" s="2"/>
      <c r="MP40" s="37"/>
      <c r="MQ40" s="37"/>
      <c r="MR40" s="37"/>
      <c r="MS40" s="37"/>
      <c r="MT40" s="37"/>
      <c r="MU40" s="2"/>
      <c r="MV40" s="2"/>
      <c r="MW40" s="37"/>
      <c r="MX40" s="37"/>
      <c r="MY40" s="37"/>
      <c r="MZ40" s="37"/>
      <c r="NA40" s="37"/>
      <c r="NB40" s="2"/>
      <c r="NC40" s="2"/>
      <c r="ND40" s="2"/>
      <c r="NE40" s="37"/>
      <c r="NF40" s="37"/>
      <c r="NG40" s="37"/>
      <c r="NH40" s="37"/>
      <c r="NI40" s="2"/>
      <c r="NJ40" s="2"/>
      <c r="NK40" s="15" cm="1">
        <f t="array" aca="1" ref="NK40" ca="1">SUMPRODUCT((OFFSET($B40,0,31*($B$5-1)+1,1,31)&lt;&gt;"")*(IF(OFFSET($B40,0,31*($B$5-1)+1,1,31)=$NY$12,0.5,IF(OFFSET($B40,0,31*($B$5-1)+1,1,31)=$NY$13,0.5,1))*(OFFSET($B$6,0,31*($B$5-1)+1,1,31))))</f>
        <v>0</v>
      </c>
      <c r="NL40" s="19" cm="1">
        <f t="array" aca="1" ref="NL40" ca="1">SUMPRODUCT((OFFSET($B40,0,1,1,372)&lt;&gt;"")*(IF(OFFSET($B40,0,1,1,372)=$NY$12,0.5,IF(OFFSET($B40,0,1,1,372)=$NY$13,0.5,1))*(OFFSET($B$5,0,1,1,372))))</f>
        <v>0</v>
      </c>
      <c r="NM40" s="38">
        <f t="shared" ref="NM40:NQ40" ca="1" si="14">SUMPRODUCT((OFFSET($B40,0,1,1,372)&lt;&gt;"")*(OFFSET($B$5,0,1,1,372))*((OFFSET($B40,0,1,1,372))=NM$7))</f>
        <v>0</v>
      </c>
      <c r="NN40" s="38">
        <f t="shared" ca="1" si="14"/>
        <v>0</v>
      </c>
      <c r="NO40" s="38">
        <f t="shared" ca="1" si="14"/>
        <v>0</v>
      </c>
      <c r="NP40" s="38">
        <f t="shared" ca="1" si="14"/>
        <v>0</v>
      </c>
      <c r="NQ40" s="38">
        <f t="shared" ca="1" si="14"/>
        <v>0</v>
      </c>
      <c r="NR40" s="38">
        <f t="shared" ca="1" si="11"/>
        <v>0</v>
      </c>
      <c r="NS40" s="38">
        <f t="shared" ca="1" si="8"/>
        <v>0</v>
      </c>
    </row>
    <row r="41" spans="1:383" x14ac:dyDescent="0.35">
      <c r="A41" s="52"/>
      <c r="B41" s="62" t="s">
        <v>62</v>
      </c>
      <c r="C41" s="2"/>
      <c r="D41" s="2"/>
      <c r="E41" s="2"/>
      <c r="F41" s="2"/>
      <c r="G41" s="2"/>
      <c r="H41" s="37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15" cm="1">
        <f t="array" aca="1" ref="NK41" ca="1">SUMPRODUCT((OFFSET($B41,0,31*($B$5-1)+1,1,31)&lt;&gt;"")*(IF(OFFSET($B41,0,31*($B$5-1)+1,1,31)=$NY$12,0.5,IF(OFFSET($B41,0,31*($B$5-1)+1,1,31)=$NY$13,0.5,1))*(OFFSET($B$6,0,31*($B$5-1)+1,1,31))))</f>
        <v>0</v>
      </c>
      <c r="NL41" s="19" cm="1">
        <f t="array" aca="1" ref="NL41" ca="1">SUMPRODUCT((OFFSET($B41,0,1,1,372)&lt;&gt;"")*(IF(OFFSET($B41,0,1,1,372)=$NY$12,0.5,IF(OFFSET($B41,0,1,1,372)=$NY$13,0.5,1))*(OFFSET($B$5,0,1,1,372))))</f>
        <v>0</v>
      </c>
      <c r="NM41" s="38">
        <f t="shared" ca="1" si="7"/>
        <v>0</v>
      </c>
      <c r="NN41" s="38">
        <f t="shared" ca="1" si="7"/>
        <v>0</v>
      </c>
      <c r="NO41" s="38">
        <f t="shared" ca="1" si="7"/>
        <v>0</v>
      </c>
      <c r="NP41" s="38">
        <f t="shared" ca="1" si="7"/>
        <v>0</v>
      </c>
      <c r="NQ41" s="38">
        <f t="shared" ca="1" si="7"/>
        <v>0</v>
      </c>
      <c r="NR41" s="38">
        <f t="shared" ca="1" si="11"/>
        <v>0</v>
      </c>
      <c r="NS41" s="38">
        <f t="shared" ca="1" si="8"/>
        <v>0</v>
      </c>
    </row>
    <row r="42" spans="1:383" x14ac:dyDescent="0.35">
      <c r="A42" s="52"/>
      <c r="B42" s="30" t="s">
        <v>74</v>
      </c>
      <c r="C42" s="2"/>
      <c r="D42" s="59"/>
      <c r="E42" s="59"/>
      <c r="F42" s="59"/>
      <c r="G42" s="59"/>
      <c r="H42" s="59"/>
      <c r="I42" s="2"/>
      <c r="J42" s="2"/>
      <c r="K42" s="59"/>
      <c r="L42" s="59"/>
      <c r="M42" s="59"/>
      <c r="N42" s="59"/>
      <c r="O42" s="59"/>
      <c r="P42" s="2"/>
      <c r="Q42" s="2"/>
      <c r="R42" s="59"/>
      <c r="S42" s="59"/>
      <c r="T42" s="59"/>
      <c r="U42" s="59"/>
      <c r="V42" s="59"/>
      <c r="W42" s="2"/>
      <c r="X42" s="2"/>
      <c r="Y42" s="59"/>
      <c r="Z42" s="59"/>
      <c r="AA42" s="59"/>
      <c r="AB42" s="59"/>
      <c r="AC42" s="59"/>
      <c r="AD42" s="2"/>
      <c r="AE42" s="2"/>
      <c r="AF42" s="59"/>
      <c r="AG42" s="59"/>
      <c r="AH42" s="59"/>
      <c r="AI42" s="59"/>
      <c r="AJ42" s="59"/>
      <c r="AK42" s="2"/>
      <c r="AL42" s="2"/>
      <c r="AM42" s="59"/>
      <c r="AN42" s="59"/>
      <c r="AO42" s="59"/>
      <c r="AP42" s="59"/>
      <c r="AQ42" s="59"/>
      <c r="AR42" s="2"/>
      <c r="AS42" s="2"/>
      <c r="AT42" s="59"/>
      <c r="AU42" s="59"/>
      <c r="AV42" s="59"/>
      <c r="AW42" s="59"/>
      <c r="AX42" s="59"/>
      <c r="AY42" s="2"/>
      <c r="AZ42" s="2"/>
      <c r="BA42" s="2"/>
      <c r="BB42" s="59"/>
      <c r="BC42" s="59"/>
      <c r="BD42" s="59"/>
      <c r="BE42" s="59"/>
      <c r="BF42" s="2"/>
      <c r="BG42" s="2"/>
      <c r="BH42" s="59"/>
      <c r="BI42" s="59"/>
      <c r="BJ42" s="59"/>
      <c r="BK42" s="59"/>
      <c r="BL42" s="59"/>
      <c r="BM42" s="59"/>
      <c r="BN42" s="59"/>
      <c r="BO42" s="59"/>
      <c r="BP42" s="2"/>
      <c r="BQ42" s="2"/>
      <c r="BR42" s="59"/>
      <c r="BS42" s="59"/>
      <c r="BT42" s="59"/>
      <c r="BU42" s="59"/>
      <c r="BV42" s="59"/>
      <c r="BW42" s="2"/>
      <c r="BX42" s="2"/>
      <c r="BY42" s="59"/>
      <c r="BZ42" s="59"/>
      <c r="CA42" s="59"/>
      <c r="CB42" s="59"/>
      <c r="CC42" s="59"/>
      <c r="CD42" s="2"/>
      <c r="CE42" s="2"/>
      <c r="CF42" s="59"/>
      <c r="CG42" s="59"/>
      <c r="CH42" s="59"/>
      <c r="CI42" s="59"/>
      <c r="CJ42" s="59"/>
      <c r="CK42" s="2"/>
      <c r="CL42" s="2"/>
      <c r="CM42" s="59"/>
      <c r="CN42" s="59"/>
      <c r="CO42" s="59"/>
      <c r="CP42" s="59"/>
      <c r="CQ42" s="59"/>
      <c r="CR42" s="2"/>
      <c r="CS42" s="2"/>
      <c r="CT42" s="59"/>
      <c r="CU42" s="59"/>
      <c r="CV42" s="59"/>
      <c r="CW42" s="59"/>
      <c r="CX42" s="59"/>
      <c r="CY42" s="2"/>
      <c r="CZ42" s="2"/>
      <c r="DA42" s="59"/>
      <c r="DB42" s="59"/>
      <c r="DC42" s="59"/>
      <c r="DD42" s="59"/>
      <c r="DE42" s="59"/>
      <c r="DF42" s="2"/>
      <c r="DG42" s="2"/>
      <c r="DH42" s="59"/>
      <c r="DI42" s="59"/>
      <c r="DJ42" s="59"/>
      <c r="DK42" s="59"/>
      <c r="DL42" s="59"/>
      <c r="DM42" s="2"/>
      <c r="DN42" s="2"/>
      <c r="DO42" s="59"/>
      <c r="DP42" s="59"/>
      <c r="DQ42" s="59"/>
      <c r="DR42" s="59"/>
      <c r="DS42" s="59"/>
      <c r="DT42" s="2"/>
      <c r="DU42" s="59"/>
      <c r="DV42" s="2"/>
      <c r="DW42" s="59"/>
      <c r="DX42" s="59"/>
      <c r="DY42" s="59"/>
      <c r="DZ42" s="59"/>
      <c r="EA42" s="59"/>
      <c r="EB42" s="2"/>
      <c r="EC42" s="2"/>
      <c r="ED42" s="59"/>
      <c r="EE42" s="59"/>
      <c r="EF42" s="59"/>
      <c r="EG42" s="59"/>
      <c r="EH42" s="59"/>
      <c r="EI42" s="2"/>
      <c r="EJ42" s="2"/>
      <c r="EK42" s="59"/>
      <c r="EL42" s="59"/>
      <c r="EM42" s="59"/>
      <c r="EN42" s="59"/>
      <c r="EO42" s="59"/>
      <c r="EP42" s="2"/>
      <c r="EQ42" s="2"/>
      <c r="ER42" s="59"/>
      <c r="ES42" s="59"/>
      <c r="ET42" s="59"/>
      <c r="EU42" s="59"/>
      <c r="EV42" s="59"/>
      <c r="EW42" s="2"/>
      <c r="EX42" s="2"/>
      <c r="EY42" s="59"/>
      <c r="EZ42" s="59"/>
      <c r="FA42" s="59"/>
      <c r="FB42" s="59"/>
      <c r="FC42" s="59"/>
      <c r="FD42" s="2"/>
      <c r="FE42" s="2"/>
      <c r="FF42" s="59"/>
      <c r="FG42" s="59"/>
      <c r="FH42" s="59"/>
      <c r="FI42" s="59"/>
      <c r="FJ42" s="59"/>
      <c r="FK42" s="2"/>
      <c r="FL42" s="2"/>
      <c r="FM42" s="59"/>
      <c r="FN42" s="59"/>
      <c r="FO42" s="59"/>
      <c r="FP42" s="59"/>
      <c r="FQ42" s="59"/>
      <c r="FR42" s="2"/>
      <c r="FS42" s="2"/>
      <c r="FT42" s="59"/>
      <c r="FU42" s="59"/>
      <c r="FV42" s="59"/>
      <c r="FW42" s="59"/>
      <c r="FX42" s="59"/>
      <c r="FY42" s="2"/>
      <c r="FZ42" s="2"/>
      <c r="GA42" s="59"/>
      <c r="GB42" s="59"/>
      <c r="GC42" s="59"/>
      <c r="GD42" s="59"/>
      <c r="GE42" s="59"/>
      <c r="GF42" s="2"/>
      <c r="GG42" s="2"/>
      <c r="GH42" s="2"/>
      <c r="GI42" s="59"/>
      <c r="GJ42" s="59"/>
      <c r="GK42" s="59"/>
      <c r="GL42" s="59"/>
      <c r="GM42" s="59"/>
      <c r="GN42" s="2"/>
      <c r="GO42" s="2"/>
      <c r="GP42" s="59"/>
      <c r="GQ42" s="59"/>
      <c r="GR42" s="59"/>
      <c r="GS42" s="59"/>
      <c r="GT42" s="59"/>
      <c r="GU42" s="2"/>
      <c r="GV42" s="2"/>
      <c r="GW42" s="59"/>
      <c r="GX42" s="59"/>
      <c r="GY42" s="59"/>
      <c r="GZ42" s="59"/>
      <c r="HA42" s="59"/>
      <c r="HB42" s="2"/>
      <c r="HC42" s="2"/>
      <c r="HD42" s="59"/>
      <c r="HE42" s="59"/>
      <c r="HF42" s="59"/>
      <c r="HG42" s="59"/>
      <c r="HH42" s="59"/>
      <c r="HI42" s="2"/>
      <c r="HJ42" s="2"/>
      <c r="HK42" s="2"/>
      <c r="HL42" s="59"/>
      <c r="HM42" s="59"/>
      <c r="HN42" s="59"/>
      <c r="HO42" s="59"/>
      <c r="HP42" s="2"/>
      <c r="HQ42" s="2"/>
      <c r="HR42" s="59"/>
      <c r="HS42" s="59"/>
      <c r="HT42" s="59"/>
      <c r="HU42" s="59"/>
      <c r="HV42" s="59"/>
      <c r="HW42" s="2"/>
      <c r="HX42" s="2"/>
      <c r="HY42" s="59"/>
      <c r="HZ42" s="59"/>
      <c r="IA42" s="59"/>
      <c r="IB42" s="59"/>
      <c r="IC42" s="59"/>
      <c r="ID42" s="2"/>
      <c r="IE42" s="2"/>
      <c r="IF42" s="59"/>
      <c r="IG42" s="59"/>
      <c r="IH42" s="59"/>
      <c r="II42" s="59"/>
      <c r="IJ42" s="59"/>
      <c r="IK42" s="2"/>
      <c r="IL42" s="2"/>
      <c r="IM42" s="59"/>
      <c r="IN42" s="59"/>
      <c r="IO42" s="59"/>
      <c r="IP42" s="59"/>
      <c r="IQ42" s="59"/>
      <c r="IR42" s="2"/>
      <c r="IS42" s="2"/>
      <c r="IT42" s="2"/>
      <c r="IU42" s="59"/>
      <c r="IV42" s="59"/>
      <c r="IW42" s="59"/>
      <c r="IX42" s="59"/>
      <c r="IY42" s="2"/>
      <c r="IZ42" s="2"/>
      <c r="JA42" s="59"/>
      <c r="JB42" s="59"/>
      <c r="JC42" s="59"/>
      <c r="JD42" s="59"/>
      <c r="JE42" s="59"/>
      <c r="JF42" s="2"/>
      <c r="JG42" s="2"/>
      <c r="JH42" s="59"/>
      <c r="JI42" s="59"/>
      <c r="JJ42" s="59"/>
      <c r="JK42" s="59"/>
      <c r="JL42" s="59"/>
      <c r="JM42" s="2"/>
      <c r="JN42" s="2"/>
      <c r="JO42" s="59"/>
      <c r="JP42" s="59"/>
      <c r="JQ42" s="59"/>
      <c r="JR42" s="59"/>
      <c r="JS42" s="2"/>
      <c r="JT42" s="59"/>
      <c r="JU42" s="2"/>
      <c r="JV42" s="2"/>
      <c r="JW42" s="59"/>
      <c r="JX42" s="59"/>
      <c r="JY42" s="59"/>
      <c r="JZ42" s="59"/>
      <c r="KA42" s="59"/>
      <c r="KB42" s="2"/>
      <c r="KC42" s="2"/>
      <c r="KD42" s="2"/>
      <c r="KE42" s="59"/>
      <c r="KF42" s="59"/>
      <c r="KG42" s="59"/>
      <c r="KH42" s="59"/>
      <c r="KI42" s="2"/>
      <c r="KJ42" s="2"/>
      <c r="KK42" s="59"/>
      <c r="KL42" s="59"/>
      <c r="KM42" s="59"/>
      <c r="KN42" s="59"/>
      <c r="KO42" s="59"/>
      <c r="KP42" s="2"/>
      <c r="KQ42" s="2"/>
      <c r="KR42" s="59"/>
      <c r="KS42" s="59"/>
      <c r="KT42" s="59"/>
      <c r="KU42" s="59"/>
      <c r="KV42" s="59"/>
      <c r="KW42" s="2"/>
      <c r="KX42" s="2"/>
      <c r="KY42" s="59"/>
      <c r="KZ42" s="59"/>
      <c r="LA42" s="59"/>
      <c r="LB42" s="59"/>
      <c r="LC42" s="59"/>
      <c r="LD42" s="2"/>
      <c r="LE42" s="2"/>
      <c r="LF42" s="59"/>
      <c r="LG42" s="59"/>
      <c r="LH42" s="59"/>
      <c r="LI42" s="59"/>
      <c r="LJ42" s="2"/>
      <c r="LK42" s="2"/>
      <c r="LL42" s="2"/>
      <c r="LM42" s="59"/>
      <c r="LN42" s="59"/>
      <c r="LO42" s="59"/>
      <c r="LP42" s="59"/>
      <c r="LQ42" s="59"/>
      <c r="LR42" s="2"/>
      <c r="LS42" s="2"/>
      <c r="LT42" s="59"/>
      <c r="LU42" s="59"/>
      <c r="LV42" s="59"/>
      <c r="LW42" s="59"/>
      <c r="LX42" s="59"/>
      <c r="LY42" s="2"/>
      <c r="LZ42" s="2"/>
      <c r="MA42" s="59"/>
      <c r="MB42" s="59"/>
      <c r="MC42" s="59"/>
      <c r="MD42" s="59"/>
      <c r="ME42" s="59"/>
      <c r="MF42" s="59"/>
      <c r="MG42" s="2"/>
      <c r="MH42" s="2"/>
      <c r="MI42" s="59"/>
      <c r="MJ42" s="59"/>
      <c r="MK42" s="59"/>
      <c r="ML42" s="59"/>
      <c r="MM42" s="59"/>
      <c r="MN42" s="2"/>
      <c r="MO42" s="2"/>
      <c r="MP42" s="59"/>
      <c r="MQ42" s="59"/>
      <c r="MR42" s="59"/>
      <c r="MS42" s="59"/>
      <c r="MT42" s="59"/>
      <c r="MU42" s="2"/>
      <c r="MV42" s="2"/>
      <c r="MW42" s="59"/>
      <c r="MX42" s="59"/>
      <c r="MY42" s="59"/>
      <c r="MZ42" s="59"/>
      <c r="NA42" s="59"/>
      <c r="NB42" s="2"/>
      <c r="NC42" s="2"/>
      <c r="ND42" s="2"/>
      <c r="NE42" s="59"/>
      <c r="NF42" s="59"/>
      <c r="NG42" s="59"/>
      <c r="NH42" s="59"/>
      <c r="NI42" s="2"/>
      <c r="NJ42" s="2"/>
      <c r="NK42" s="15" cm="1">
        <f t="array" aca="1" ref="NK42" ca="1">SUMPRODUCT((OFFSET($B42,0,31*($B$5-1)+1,1,31)&lt;&gt;"")*(IF(OFFSET($B42,0,31*($B$5-1)+1,1,31)=$NY$12,0.5,IF(OFFSET($B42,0,31*($B$5-1)+1,1,31)=$NY$13,0.5,1))*(OFFSET($B$6,0,31*($B$5-1)+1,1,31))))</f>
        <v>0</v>
      </c>
      <c r="NL42" s="19" cm="1">
        <f t="array" aca="1" ref="NL42" ca="1">SUMPRODUCT((OFFSET($B42,0,1,1,372)&lt;&gt;"")*(IF(OFFSET($B42,0,1,1,372)=$NY$12,0.5,IF(OFFSET($B42,0,1,1,372)=$NY$13,0.5,1))*(OFFSET($B$5,0,1,1,372))))</f>
        <v>0</v>
      </c>
      <c r="NM42" s="38">
        <f t="shared" ca="1" si="7"/>
        <v>0</v>
      </c>
      <c r="NN42" s="38">
        <f t="shared" ca="1" si="7"/>
        <v>0</v>
      </c>
      <c r="NO42" s="38">
        <f t="shared" ca="1" si="7"/>
        <v>0</v>
      </c>
      <c r="NP42" s="38">
        <f t="shared" ca="1" si="7"/>
        <v>0</v>
      </c>
      <c r="NQ42" s="38">
        <f t="shared" ca="1" si="7"/>
        <v>0</v>
      </c>
      <c r="NR42" s="38">
        <f t="shared" ca="1" si="11"/>
        <v>0</v>
      </c>
      <c r="NS42" s="38">
        <f t="shared" ca="1" si="8"/>
        <v>0</v>
      </c>
    </row>
    <row r="43" spans="1:383" x14ac:dyDescent="0.35">
      <c r="B43" s="63" t="s">
        <v>75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37"/>
      <c r="MF43" s="37"/>
      <c r="MG43" s="2"/>
      <c r="MH43" s="2"/>
      <c r="MI43" s="37"/>
      <c r="MJ43" s="37"/>
      <c r="MK43" s="37"/>
      <c r="ML43" s="37"/>
      <c r="MM43" s="37"/>
      <c r="MN43" s="2"/>
      <c r="MO43" s="2"/>
      <c r="MP43" s="37"/>
      <c r="MQ43" s="37"/>
      <c r="MR43" s="37"/>
      <c r="MS43" s="37"/>
      <c r="MT43" s="37"/>
      <c r="MU43" s="2"/>
      <c r="MV43" s="2"/>
      <c r="MW43" s="37"/>
      <c r="MX43" s="37"/>
      <c r="MY43" s="37"/>
      <c r="MZ43" s="37"/>
      <c r="NA43" s="37"/>
      <c r="NB43" s="2"/>
      <c r="NC43" s="2"/>
      <c r="ND43" s="2"/>
      <c r="NE43" s="37"/>
      <c r="NF43" s="37"/>
      <c r="NG43" s="37"/>
      <c r="NH43" s="37"/>
      <c r="NI43" s="2"/>
      <c r="NJ43" s="2"/>
      <c r="NK43" s="15" cm="1">
        <f t="array" aca="1" ref="NK43" ca="1">SUMPRODUCT((OFFSET($B43,0,31*($B$5-1)+1,1,31)&lt;&gt;"")*(IF(OFFSET($B43,0,31*($B$5-1)+1,1,31)=$NY$12,0.5,IF(OFFSET($B43,0,31*($B$5-1)+1,1,31)=$NY$13,0.5,1))*(OFFSET($B$6,0,31*($B$5-1)+1,1,31))))</f>
        <v>0</v>
      </c>
      <c r="NL43" s="19" cm="1">
        <f t="array" aca="1" ref="NL43" ca="1">SUMPRODUCT((OFFSET($B43,0,1,1,372)&lt;&gt;"")*(IF(OFFSET($B43,0,1,1,372)=$NY$12,0.5,IF(OFFSET($B43,0,1,1,372)=$NY$13,0.5,1))*(OFFSET($B$5,0,1,1,372))))</f>
        <v>0</v>
      </c>
      <c r="NM43" s="38">
        <f t="shared" ca="1" si="7"/>
        <v>0</v>
      </c>
      <c r="NN43" s="38">
        <f t="shared" ca="1" si="7"/>
        <v>0</v>
      </c>
      <c r="NO43" s="38">
        <f t="shared" ca="1" si="7"/>
        <v>0</v>
      </c>
      <c r="NP43" s="38">
        <f t="shared" ca="1" si="7"/>
        <v>0</v>
      </c>
      <c r="NQ43" s="38">
        <f t="shared" ca="1" si="7"/>
        <v>0</v>
      </c>
      <c r="NR43" s="38">
        <f t="shared" ca="1" si="11"/>
        <v>0</v>
      </c>
      <c r="NS43" s="38">
        <f t="shared" ca="1" si="8"/>
        <v>0</v>
      </c>
    </row>
    <row r="44" spans="1:383" x14ac:dyDescent="0.35">
      <c r="B44" s="53" t="s">
        <v>77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15" cm="1">
        <f t="array" aca="1" ref="NK44" ca="1">SUMPRODUCT((OFFSET($B44,0,31*($B$5-1)+1,1,31)&lt;&gt;"")*(IF(OFFSET($B44,0,31*($B$5-1)+1,1,31)=$NY$12,0.5,IF(OFFSET($B44,0,31*($B$5-1)+1,1,31)=$NY$13,0.5,1))*(OFFSET($B$6,0,31*($B$5-1)+1,1,31))))</f>
        <v>0</v>
      </c>
      <c r="NL44" s="19" cm="1">
        <f t="array" aca="1" ref="NL44" ca="1">SUMPRODUCT((OFFSET($B44,0,1,1,372)&lt;&gt;"")*(IF(OFFSET($B44,0,1,1,372)=$NY$12,0.5,IF(OFFSET($B44,0,1,1,372)=$NY$13,0.5,1))*(OFFSET($B$5,0,1,1,372))))</f>
        <v>0</v>
      </c>
      <c r="NM44" s="38">
        <f t="shared" ca="1" si="7"/>
        <v>0</v>
      </c>
      <c r="NN44" s="38">
        <f t="shared" ca="1" si="7"/>
        <v>0</v>
      </c>
      <c r="NO44" s="38">
        <f t="shared" ca="1" si="7"/>
        <v>0</v>
      </c>
      <c r="NP44" s="38">
        <f t="shared" ca="1" si="7"/>
        <v>0</v>
      </c>
      <c r="NQ44" s="38">
        <f t="shared" ca="1" si="7"/>
        <v>0</v>
      </c>
      <c r="NR44" s="38">
        <f t="shared" ca="1" si="11"/>
        <v>0</v>
      </c>
      <c r="NS44" s="38">
        <f t="shared" ca="1" si="8"/>
        <v>0</v>
      </c>
    </row>
    <row r="45" spans="1:383" x14ac:dyDescent="0.35">
      <c r="B45" s="75" t="s">
        <v>66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37"/>
      <c r="MF45" s="37"/>
      <c r="MG45" s="2"/>
      <c r="MH45" s="2"/>
      <c r="MI45" s="37"/>
      <c r="MJ45" s="37"/>
      <c r="MK45" s="37"/>
      <c r="ML45" s="37"/>
      <c r="MM45" s="37"/>
      <c r="MN45" s="2"/>
      <c r="MO45" s="2"/>
      <c r="MP45" s="37"/>
      <c r="MQ45" s="37"/>
      <c r="MR45" s="37"/>
      <c r="MS45" s="37"/>
      <c r="MT45" s="37"/>
      <c r="MU45" s="2"/>
      <c r="MV45" s="2"/>
      <c r="MW45" s="37"/>
      <c r="MX45" s="37"/>
      <c r="MY45" s="37"/>
      <c r="MZ45" s="37"/>
      <c r="NA45" s="37"/>
      <c r="NB45" s="2"/>
      <c r="NC45" s="2"/>
      <c r="ND45" s="2"/>
      <c r="NE45" s="37"/>
      <c r="NF45" s="37"/>
      <c r="NG45" s="37"/>
      <c r="NH45" s="37"/>
      <c r="NI45" s="2"/>
      <c r="NJ45" s="2"/>
      <c r="NK45" s="15" cm="1">
        <f t="array" aca="1" ref="NK45" ca="1">SUMPRODUCT((OFFSET($B45,0,31*($B$5-1)+1,1,31)&lt;&gt;"")*(IF(OFFSET($B45,0,31*($B$5-1)+1,1,31)=$NY$12,0.5,IF(OFFSET($B45,0,31*($B$5-1)+1,1,31)=$NY$13,0.5,1))*(OFFSET($B$6,0,31*($B$5-1)+1,1,31))))</f>
        <v>0</v>
      </c>
      <c r="NL45" s="19" cm="1">
        <f t="array" aca="1" ref="NL45" ca="1">SUMPRODUCT((OFFSET($B45,0,1,1,372)&lt;&gt;"")*(IF(OFFSET($B45,0,1,1,372)=$NY$12,0.5,IF(OFFSET($B45,0,1,1,372)=$NY$13,0.5,1))*(OFFSET($B$5,0,1,1,372))))</f>
        <v>0</v>
      </c>
      <c r="NM45" s="38">
        <f t="shared" ref="NM45:NQ45" ca="1" si="15">SUMPRODUCT((OFFSET($B45,0,1,1,372)&lt;&gt;"")*(OFFSET($B$5,0,1,1,372))*((OFFSET($B45,0,1,1,372))=NM$7))</f>
        <v>0</v>
      </c>
      <c r="NN45" s="38">
        <f t="shared" ca="1" si="15"/>
        <v>0</v>
      </c>
      <c r="NO45" s="38">
        <f t="shared" ca="1" si="15"/>
        <v>0</v>
      </c>
      <c r="NP45" s="38">
        <f t="shared" ca="1" si="15"/>
        <v>0</v>
      </c>
      <c r="NQ45" s="38">
        <f t="shared" ca="1" si="15"/>
        <v>0</v>
      </c>
      <c r="NR45" s="38">
        <f t="shared" ca="1" si="11"/>
        <v>0</v>
      </c>
      <c r="NS45" s="38">
        <f t="shared" ca="1" si="8"/>
        <v>0</v>
      </c>
    </row>
  </sheetData>
  <sortState xmlns:xlrd2="http://schemas.microsoft.com/office/spreadsheetml/2017/richdata2" ref="B19:B21">
    <sortCondition ref="B19:B21"/>
  </sortState>
  <mergeCells count="10">
    <mergeCell ref="NM6:NS6"/>
    <mergeCell ref="NR7:NR8"/>
    <mergeCell ref="NS7:NS8"/>
    <mergeCell ref="NP7:NP8"/>
    <mergeCell ref="NQ7:NQ8"/>
    <mergeCell ref="NK7:NK8"/>
    <mergeCell ref="NL7:NL8"/>
    <mergeCell ref="NM7:NM8"/>
    <mergeCell ref="NN7:NN8"/>
    <mergeCell ref="NO7:NO8"/>
  </mergeCells>
  <phoneticPr fontId="17" type="noConversion"/>
  <conditionalFormatting sqref="NY25:NY32">
    <cfRule type="expression" dxfId="1007" priority="1707">
      <formula>NY25="No"</formula>
    </cfRule>
  </conditionalFormatting>
  <conditionalFormatting sqref="C8:NJ8">
    <cfRule type="expression" dxfId="1006" priority="1729">
      <formula>IF(VLOOKUP(C8,$NX$25:$NY$32,2,0)="No",TRUE,FALSE)</formula>
    </cfRule>
  </conditionalFormatting>
  <conditionalFormatting sqref="C10:AG13 AK10:AL13 C25:NJ38 C40 I40:J40 P40:Q40 W40:X40 AD40:AE40 I24:J24 P24:Q24 W24:X24 AD24:AE24 AK24:AL24 AR24:AS24 AY24:BA24 BF24:BG24 BP24:BQ24 BW24:BX24 CD24:CE24 CK24:CL24 CR24:CS24 CY24:CZ24 DF24:DG24 DM24:DN24 DT24 DV24 EB24:EC24 EI24:EJ24 EP24:EQ24 EW24:EX24 FD24:FE24 FK24:FL24 FR24:FS24 FY24:FZ24 GF24:GH24 GN24:GO24 GU24:GV24 HB24:HC24 HI24:HK24 HP24:HQ24 HW24:HX24 ID24:IE24 IK24:IL24 IR24:IT24 IY24:IZ24 JF24:JG24 JM24:JN24 JS24 JU24:JV24 KB24:KD24 KI24:KJ24 KP24:KQ24 KW24:KX24 LD24:LE24 LJ24:LL24 LR24:LS24 LY24:LZ24 MG24:MH24 MN24:MO24 MU24:MV24 NB24:ND24 NI24:NJ24 AR10:AS14 AY10:BA14 BF10:BG14 BP10:BQ14 BW10:BX14 CD10:CE14 CK10:CL14 CR10:CS14 CY10:CZ14 DF10:DG14 DM10:DN14 DT10:DT14 DV10:DV14 EB10:EC14 EI10:EJ14 EP10:EQ14 EW10:EX14 FD10:FE14 FK10:FL14 FR10:FS14 FY10:FZ14 GF10:GH14 GN10:GO14 GU10:GV14 HB10:HC14 HI10:HK14 HP10:HQ14 HW10:HX14 ID10:IE14 IK10:IL14 IR10:IT14 IY10:IZ14 JF10:JG14 JM10:JN14 JS10:JS14 JU10:JV14 KB10:KD14 KI10:KJ14 KP10:KQ14 KW10:KX14 LD10:LE14 LJ10:LL14 LR10:LS14 LY10:LZ14 MG10:MH14 MN10:MO14 MU10:MV14 NB10:ND14 NI10:NJ14 AK45:MD45 ME44:MF44 MI44:MM44 MP44:MT44 MW44:NA44 C15:NJ23 NE44:NH44 ME41:MF42 MI41:MM42 MP41:MT42 MW41:NA42 NE41:NH42 AK40:AL44 AR40:AS44 AY40:BA44 BF40:BG44 BP40:BQ44 BW40:BX44 CD40:CE44 CK40:CL44 CR40:CS44 CY40:CZ44 DF40:DG44 DM40:DN44 DT40:DT44 DV40:DV44 EB40:EC44 EI40:EJ44 EP40:EQ44 EW40:EX44 FD40:FE44 FK40:FL44 FR40:FS44 FY40:FZ44 GF40:GH44 GN40:GO44 GU40:GV44 HB40:HC44 HI40:HK44 HP40:HQ44 HW40:HX44 ID40:IE44 IK40:IL44 IR40:IT44 IY40:IZ44 JF40:JG44 JM40:JN44 JS40:JS44 JU40:JV44 KB40:KD44 KI40:KJ44 KP40:KQ44 KW40:KX44 LD40:LE44 LJ40:LL44 LR40:LS44 LY40:LZ44 MG40:MH45 C41:AJ44 AM41:AQ44 AT41:AX44 BB41:BE44 BH41:BO44 BR41:BV44 BY41:CC44 CF41:CJ44 CM41:CQ44 CT41:CX44 DA41:DE44 DH41:DL44 DO41:DS44 DU41:DU44 DW41:EA44 ED41:EH44 EK41:EO44 ER41:EV44 EY41:FC44 FF41:FJ44 FM41:FQ44 FT41:FX44 GA41:GE44 GI41:GM44 GP41:GT44 GW41:HA44 HD41:HH44 HL41:HO44 HR41:HV44 HY41:IC44 IF41:IJ44 IM41:IQ44 IU41:IX44 JA41:JE44 JH41:JL44 JO41:JR44 JT41:JT44 JW41:KA44 KE41:KH44 KK41:KO44 KR41:KV44 KY41:LC44 LF41:LI44 LM41:LQ44 LT41:LX44 MA41:MD44 C39:MH39 MU39:MV45 MN39:MO44 NB39:ND45 NI39:NJ45">
    <cfRule type="expression" dxfId="1005" priority="1754" stopIfTrue="1">
      <formula>AND(C$7&lt;&gt;"",VLOOKUP(C$8,$NX$25:$NY$32,2,0)&lt;&gt;"Yes")</formula>
    </cfRule>
    <cfRule type="expression" dxfId="1004" priority="1755" stopIfTrue="1">
      <formula>ISNUMBER(MATCH(DATE($B$4,$B$3+$B$5-1,C$7),HolidayListNamedRange,0))</formula>
    </cfRule>
  </conditionalFormatting>
  <conditionalFormatting sqref="C24">
    <cfRule type="expression" dxfId="1003" priority="1694" stopIfTrue="1">
      <formula>AND(C$7&lt;&gt;"",VLOOKUP(C$8,$NX$25:$NY$32,2,0)&lt;&gt;"Yes")</formula>
    </cfRule>
    <cfRule type="expression" dxfId="1002" priority="1695" stopIfTrue="1">
      <formula>ISNUMBER(MATCH(DATE($B$4,$B$3+$B$5-1,C$7),HolidayListNamedRange,0))</formula>
    </cfRule>
  </conditionalFormatting>
  <conditionalFormatting sqref="AK14:AL14">
    <cfRule type="expression" dxfId="1001" priority="1692" stopIfTrue="1">
      <formula>AND(AK$7&lt;&gt;"",VLOOKUP(AK$8,$NX$25:$NY$32,2,0)&lt;&gt;"Yes")</formula>
    </cfRule>
    <cfRule type="expression" dxfId="1000" priority="1693" stopIfTrue="1">
      <formula>ISNUMBER(MATCH(DATE($B$4,$B$3+$B$5-1,AK$7),HolidayListNamedRange,0))</formula>
    </cfRule>
  </conditionalFormatting>
  <conditionalFormatting sqref="C45:AG45">
    <cfRule type="expression" dxfId="999" priority="1688" stopIfTrue="1">
      <formula>AND(C$7&lt;&gt;"",VLOOKUP(C$8,$NX$25:$NY$32,2,0)&lt;&gt;"Yes")</formula>
    </cfRule>
    <cfRule type="expression" dxfId="998" priority="1689" stopIfTrue="1">
      <formula>ISNUMBER(MATCH(DATE($B$4,$B$3+$B$5-1,C$7),HolidayListNamedRange,0))</formula>
    </cfRule>
  </conditionalFormatting>
  <conditionalFormatting sqref="D14:H14 D40:H40 K40:O40 R40:V40 Y40:AC40 AF40:AJ40 AM40:AQ40 AT40:AX40 BB40:BE40 BH40:BO40 BR40:BV40 BY40:CC40 CF40:CJ40 CM40:CQ40 CT40:CX40 DA40:DE40 DH40:DL40 DO40:DS40 DU40 DW40:EA40 ED40:EH40 EK40:EO40 ER40:EV40 EY40:FC40 FF40:FJ40 FM40:FQ40 FT40:FX40 GA40:GE40 GI40:GM40 GP40:GT40 GW40:HA40 HD40:HH40 HL40:HO40 HR40:HV40 HY40:IC40 IF40:IJ40 IM40:IQ40 IU40:IX40 JA40:JE40 JH40:JL40 JO40:JR40 JT40 JW40:KA40 KE40:KH40 KK40:KO40 KR40:KV40 KY40:LC40 LF40:LI40 LM40:LQ40 LT40:LX40 MA40:MD40 MF40 MP45:MT45 MW45:NA45 NE45:NH45">
    <cfRule type="expression" dxfId="997" priority="1683" stopIfTrue="1">
      <formula>AND(D$7&lt;&gt;"",VLOOKUP(D$8,$NX$23:$NY$30,2,0)&lt;&gt;"Yes")</formula>
    </cfRule>
    <cfRule type="expression" dxfId="996" priority="1684" stopIfTrue="1">
      <formula>ISNUMBER(MATCH(DATE($B$4,$B$3+$B$5-1,D$7),HolidayListNamedRange,0))</formula>
    </cfRule>
  </conditionalFormatting>
  <conditionalFormatting sqref="D14:H14">
    <cfRule type="expression" dxfId="995" priority="1685" stopIfTrue="1">
      <formula>AND(((COUNTIF(D12:D13,"O")+COUNTIF(D12:D13,"L")+COUNTIF(D12:D13,"H1")+COUNTIF(D12:D13,"H2")+COUNTIF(D12:D13,"OY")+COUNTIF(D12:D13,"M")+COUNTIF(D12:D13,"V")+COUNTIF(D12:D13,"P"))/2)&gt;=0,((COUNTIF(D12:D13,"O")+COUNTIF(D12:D13,"L")+COUNTIF(D12:D13,"H1")+COUNTIF(D12:D13,"H2")+COUNTIF(D12:D13,"OY")+COUNTIF(D12:D13,"M")+COUNTIF(D12:D13,"V")+COUNTIF(D12:D13,"P"))/2)&lt;=0.2)</formula>
    </cfRule>
    <cfRule type="expression" dxfId="994" priority="1686" stopIfTrue="1">
      <formula>AND(((COUNTIF(D12:D13,"O")+COUNTIF(D12:D13,"L")+COUNTIF(D12:D13,"H1")+COUNTIF(D12:D13,"H2")+COUNTIF(D12:D13,"OY")+COUNTIF(D12:D13,"M")+COUNTIF(D12:D13,"V")+COUNTIF(D12:D13,"P"))/2)&gt;0.2,((COUNTIF(D12:D13,"O")+COUNTIF(D12:D13,"L")+COUNTIF(D12:D13,"H1")+COUNTIF(D12:D13,"H2")+COUNTIF(D12:D13,"OY")+COUNTIF(D12:D13,"M")+COUNTIF(D12:D13,"V")+COUNTIF(D12:D13,"P"))/2)&lt;=0.4)</formula>
    </cfRule>
    <cfRule type="expression" dxfId="993" priority="1687" stopIfTrue="1">
      <formula>AND(((COUNTIF(D12:D13,"O")+COUNTIF(D12:D13,"L")+COUNTIF(D12:D13,"H1")+COUNTIF(D12:D13,"H2")+COUNTIF(D12:D13,"OY")+COUNTIF(D12:D13,"M")+COUNTIF(D12:D13,"V")+COUNTIF(D12:D13,"P"))/2)&gt;=0.4,((COUNTIF(D12:D13,"O")+COUNTIF(D12:D13,"L")+COUNTIF(D12:D13,"H1")+COUNTIF(D12:D13,"H2")+COUNTIF(D12:D13,"OY")+COUNTIF(D12:D13,"M")+COUNTIF(D12:D13,"V")+COUNTIF(D12:D13,"P"))/2)&lt;=1)</formula>
    </cfRule>
  </conditionalFormatting>
  <conditionalFormatting sqref="D24:H24">
    <cfRule type="expression" dxfId="992" priority="1681" stopIfTrue="1">
      <formula>AND(D$7&lt;&gt;"",VLOOKUP(D$8,$NX$23:$NY$30,2,0)&lt;&gt;"Yes")</formula>
    </cfRule>
    <cfRule type="expression" dxfId="991" priority="1682" stopIfTrue="1">
      <formula>ISNUMBER(MATCH(DATE($B$4,$B$3+$B$5-1,D$7),HolidayListNamedRange,0))</formula>
    </cfRule>
  </conditionalFormatting>
  <conditionalFormatting sqref="D24:H24">
    <cfRule type="expression" dxfId="990" priority="1678">
      <formula>AND(((COUNTIF(D16:D23,"O")+COUNTIF(D16:D23,"L")+COUNTIF(D16:D23,"H1")+COUNTIF(D16:D23,"H2")+COUNTIF(D16:D23,"OY")+COUNTIF(D16:D23,"M")+COUNTIF(D16:D23,"V")+COUNTIF(D16:D23,"P"))/8)&gt;=0,((COUNTIF(D16:D23,"O")+COUNTIF(D16:D23,"L")+COUNTIF(D16:D23,"H1")+COUNTIF(D16:D23,"H2")+COUNTIF(D16:D23,"OY")+COUNTIF(D16:D23,"M")+COUNTIF(D16:D23,"V")+COUNTIF(D16:D23,"P"))/8)&lt;=0.2)</formula>
    </cfRule>
    <cfRule type="expression" dxfId="989" priority="1679">
      <formula>AND(((COUNTIF(D16:D23,"O")+COUNTIF(D16:D23,"L")+COUNTIF(D16:D23,"H1")+COUNTIF(D16:D23,"H2")+COUNTIF(D16:D23,"OY")+COUNTIF(D16:D23,"M")+COUNTIF(D16:D23,"V")+COUNTIF(D16:D23,"P"))/8)&gt;0.2,((COUNTIF(D16:D23,"O")+COUNTIF(D16:D23,"L")+COUNTIF(D16:D23,"H1")+COUNTIF(D16:D23,"H2")+COUNTIF(D16:D23,"OY")+COUNTIF(D16:D23,"M")+COUNTIF(D16:D23,"V")+COUNTIF(D16:D23,"P"))/8)&lt;=0.4)</formula>
    </cfRule>
    <cfRule type="expression" dxfId="988" priority="1680">
      <formula>AND(((COUNTIF(D16:D23,"O")+COUNTIF(D16:D23,"L")+COUNTIF(D16:D23,"H1")+COUNTIF(D16:D23,"H2")+COUNTIF(D16:D23,"OY")+COUNTIF(D16:D23,"M")+COUNTIF(D16:D23,"V")+COUNTIF(D16:D23,"P"))/8)&gt;=0.4,((COUNTIF(D16:D23,"O")+COUNTIF(D16:D23,"L")+COUNTIF(D16:D23,"H1")+COUNTIF(D16:D23,"H2")+COUNTIF(D16:D23,"OY")+COUNTIF(D16:D23,"M")+COUNTIF(D16:D23,"V")+COUNTIF(D16:D23,"P"))/8)&lt;=1)</formula>
    </cfRule>
  </conditionalFormatting>
  <conditionalFormatting sqref="K24:O24">
    <cfRule type="expression" dxfId="987" priority="1616" stopIfTrue="1">
      <formula>AND(K$7&lt;&gt;"",VLOOKUP(K$8,$NX$23:$NY$30,2,0)&lt;&gt;"Yes")</formula>
    </cfRule>
    <cfRule type="expression" dxfId="986" priority="1617" stopIfTrue="1">
      <formula>ISNUMBER(MATCH(DATE($B$4,$B$3+$B$5-1,K$7),HolidayListNamedRange,0))</formula>
    </cfRule>
  </conditionalFormatting>
  <conditionalFormatting sqref="K24:O24">
    <cfRule type="expression" dxfId="985" priority="1613">
      <formula>AND(((COUNTIF(K16:K23,"O")+COUNTIF(K16:K23,"L")+COUNTIF(K16:K23,"H1")+COUNTIF(K16:K23,"H2")+COUNTIF(K16:K23,"OY")+COUNTIF(K16:K23,"M")+COUNTIF(K16:K23,"V")+COUNTIF(K16:K23,"P"))/8)&gt;=0,((COUNTIF(K16:K23,"O")+COUNTIF(K16:K23,"L")+COUNTIF(K16:K23,"H1")+COUNTIF(K16:K23,"H2")+COUNTIF(K16:K23,"OY")+COUNTIF(K16:K23,"M")+COUNTIF(K16:K23,"V")+COUNTIF(K16:K23,"P"))/8)&lt;=0.2)</formula>
    </cfRule>
    <cfRule type="expression" dxfId="984" priority="1614">
      <formula>AND(((COUNTIF(K16:K23,"O")+COUNTIF(K16:K23,"L")+COUNTIF(K16:K23,"H1")+COUNTIF(K16:K23,"H2")+COUNTIF(K16:K23,"OY")+COUNTIF(K16:K23,"M")+COUNTIF(K16:K23,"V")+COUNTIF(K16:K23,"P"))/8)&gt;0.2,((COUNTIF(K16:K23,"O")+COUNTIF(K16:K23,"L")+COUNTIF(K16:K23,"H1")+COUNTIF(K16:K23,"H2")+COUNTIF(K16:K23,"OY")+COUNTIF(K16:K23,"M")+COUNTIF(K16:K23,"V")+COUNTIF(K16:K23,"P"))/8)&lt;=0.4)</formula>
    </cfRule>
    <cfRule type="expression" dxfId="983" priority="1615">
      <formula>AND(((COUNTIF(K16:K23,"O")+COUNTIF(K16:K23,"L")+COUNTIF(K16:K23,"H1")+COUNTIF(K16:K23,"H2")+COUNTIF(K16:K23,"OY")+COUNTIF(K16:K23,"M")+COUNTIF(K16:K23,"V")+COUNTIF(K16:K23,"P"))/8)&gt;=0.4,((COUNTIF(K16:K23,"O")+COUNTIF(K16:K23,"L")+COUNTIF(K16:K23,"H1")+COUNTIF(K16:K23,"H2")+COUNTIF(K16:K23,"OY")+COUNTIF(K16:K23,"M")+COUNTIF(K16:K23,"V")+COUNTIF(K16:K23,"P"))/8)&lt;=1)</formula>
    </cfRule>
  </conditionalFormatting>
  <conditionalFormatting sqref="R24:V24">
    <cfRule type="expression" dxfId="982" priority="1611" stopIfTrue="1">
      <formula>AND(R$7&lt;&gt;"",VLOOKUP(R$8,$NX$23:$NY$30,2,0)&lt;&gt;"Yes")</formula>
    </cfRule>
    <cfRule type="expression" dxfId="981" priority="1612" stopIfTrue="1">
      <formula>ISNUMBER(MATCH(DATE($B$4,$B$3+$B$5-1,R$7),HolidayListNamedRange,0))</formula>
    </cfRule>
  </conditionalFormatting>
  <conditionalFormatting sqref="R24:V24">
    <cfRule type="expression" dxfId="980" priority="1608">
      <formula>AND(((COUNTIF(R16:R23,"O")+COUNTIF(R16:R23,"L")+COUNTIF(R16:R23,"H1")+COUNTIF(R16:R23,"H2")+COUNTIF(R16:R23,"OY")+COUNTIF(R16:R23,"M")+COUNTIF(R16:R23,"V")+COUNTIF(R16:R23,"P"))/8)&gt;=0,((COUNTIF(R16:R23,"O")+COUNTIF(R16:R23,"L")+COUNTIF(R16:R23,"H1")+COUNTIF(R16:R23,"H2")+COUNTIF(R16:R23,"OY")+COUNTIF(R16:R23,"M")+COUNTIF(R16:R23,"V")+COUNTIF(R16:R23,"P"))/8)&lt;=0.2)</formula>
    </cfRule>
    <cfRule type="expression" dxfId="979" priority="1609">
      <formula>AND(((COUNTIF(R16:R23,"O")+COUNTIF(R16:R23,"L")+COUNTIF(R16:R23,"H1")+COUNTIF(R16:R23,"H2")+COUNTIF(R16:R23,"OY")+COUNTIF(R16:R23,"M")+COUNTIF(R16:R23,"V")+COUNTIF(R16:R23,"P"))/8)&gt;0.2,((COUNTIF(R16:R23,"O")+COUNTIF(R16:R23,"L")+COUNTIF(R16:R23,"H1")+COUNTIF(R16:R23,"H2")+COUNTIF(R16:R23,"OY")+COUNTIF(R16:R23,"M")+COUNTIF(R16:R23,"V")+COUNTIF(R16:R23,"P"))/8)&lt;=0.4)</formula>
    </cfRule>
    <cfRule type="expression" dxfId="978" priority="1610">
      <formula>AND(((COUNTIF(R16:R23,"O")+COUNTIF(R16:R23,"L")+COUNTIF(R16:R23,"H1")+COUNTIF(R16:R23,"H2")+COUNTIF(R16:R23,"OY")+COUNTIF(R16:R23,"M")+COUNTIF(R16:R23,"V")+COUNTIF(R16:R23,"P"))/8)&gt;=0.4,((COUNTIF(R16:R23,"O")+COUNTIF(R16:R23,"L")+COUNTIF(R16:R23,"H1")+COUNTIF(R16:R23,"H2")+COUNTIF(R16:R23,"OY")+COUNTIF(R16:R23,"M")+COUNTIF(R16:R23,"V")+COUNTIF(R16:R23,"P"))/8)&lt;=1)</formula>
    </cfRule>
  </conditionalFormatting>
  <conditionalFormatting sqref="Y24:AC24">
    <cfRule type="expression" dxfId="977" priority="1606" stopIfTrue="1">
      <formula>AND(Y$7&lt;&gt;"",VLOOKUP(Y$8,$NX$23:$NY$30,2,0)&lt;&gt;"Yes")</formula>
    </cfRule>
    <cfRule type="expression" dxfId="976" priority="1607" stopIfTrue="1">
      <formula>ISNUMBER(MATCH(DATE($B$4,$B$3+$B$5-1,Y$7),HolidayListNamedRange,0))</formula>
    </cfRule>
  </conditionalFormatting>
  <conditionalFormatting sqref="Y24:AC24">
    <cfRule type="expression" dxfId="975" priority="1603">
      <formula>AND(((COUNTIF(Y16:Y23,"O")+COUNTIF(Y16:Y23,"L")+COUNTIF(Y16:Y23,"H1")+COUNTIF(Y16:Y23,"H2")+COUNTIF(Y16:Y23,"OY")+COUNTIF(Y16:Y23,"M")+COUNTIF(Y16:Y23,"V")+COUNTIF(Y16:Y23,"P"))/8)&gt;=0,((COUNTIF(Y16:Y23,"O")+COUNTIF(Y16:Y23,"L")+COUNTIF(Y16:Y23,"H1")+COUNTIF(Y16:Y23,"H2")+COUNTIF(Y16:Y23,"OY")+COUNTIF(Y16:Y23,"M")+COUNTIF(Y16:Y23,"V")+COUNTIF(Y16:Y23,"P"))/8)&lt;=0.2)</formula>
    </cfRule>
    <cfRule type="expression" dxfId="974" priority="1604">
      <formula>AND(((COUNTIF(Y16:Y23,"O")+COUNTIF(Y16:Y23,"L")+COUNTIF(Y16:Y23,"H1")+COUNTIF(Y16:Y23,"H2")+COUNTIF(Y16:Y23,"OY")+COUNTIF(Y16:Y23,"M")+COUNTIF(Y16:Y23,"V")+COUNTIF(Y16:Y23,"P"))/8)&gt;0.2,((COUNTIF(Y16:Y23,"O")+COUNTIF(Y16:Y23,"L")+COUNTIF(Y16:Y23,"H1")+COUNTIF(Y16:Y23,"H2")+COUNTIF(Y16:Y23,"OY")+COUNTIF(Y16:Y23,"M")+COUNTIF(Y16:Y23,"V")+COUNTIF(Y16:Y23,"P"))/8)&lt;=0.4)</formula>
    </cfRule>
    <cfRule type="expression" dxfId="973" priority="1605">
      <formula>AND(((COUNTIF(Y16:Y23,"O")+COUNTIF(Y16:Y23,"L")+COUNTIF(Y16:Y23,"H1")+COUNTIF(Y16:Y23,"H2")+COUNTIF(Y16:Y23,"OY")+COUNTIF(Y16:Y23,"M")+COUNTIF(Y16:Y23,"V")+COUNTIF(Y16:Y23,"P"))/8)&gt;=0.4,((COUNTIF(Y16:Y23,"O")+COUNTIF(Y16:Y23,"L")+COUNTIF(Y16:Y23,"H1")+COUNTIF(Y16:Y23,"H2")+COUNTIF(Y16:Y23,"OY")+COUNTIF(Y16:Y23,"M")+COUNTIF(Y16:Y23,"V")+COUNTIF(Y16:Y23,"P"))/8)&lt;=1)</formula>
    </cfRule>
  </conditionalFormatting>
  <conditionalFormatting sqref="AF24">
    <cfRule type="expression" dxfId="972" priority="1601" stopIfTrue="1">
      <formula>AND(AF$7&lt;&gt;"",VLOOKUP(AF$8,$NX$23:$NY$30,2,0)&lt;&gt;"Yes")</formula>
    </cfRule>
    <cfRule type="expression" dxfId="971" priority="1602" stopIfTrue="1">
      <formula>ISNUMBER(MATCH(DATE($B$4,$B$3+$B$5-1,AF$7),HolidayListNamedRange,0))</formula>
    </cfRule>
  </conditionalFormatting>
  <conditionalFormatting sqref="AF24">
    <cfRule type="expression" dxfId="970" priority="1598">
      <formula>AND(((COUNTIF(AF16:AF23,"O")+COUNTIF(AF16:AF23,"L")+COUNTIF(AF16:AF23,"H1")+COUNTIF(AF16:AF23,"H2")+COUNTIF(AF16:AF23,"OY")+COUNTIF(AF16:AF23,"M")+COUNTIF(AF16:AF23,"V")+COUNTIF(AF16:AF23,"P"))/8)&gt;=0,((COUNTIF(AF16:AF23,"O")+COUNTIF(AF16:AF23,"L")+COUNTIF(AF16:AF23,"H1")+COUNTIF(AF16:AF23,"H2")+COUNTIF(AF16:AF23,"OY")+COUNTIF(AF16:AF23,"M")+COUNTIF(AF16:AF23,"V")+COUNTIF(AF16:AF23,"P"))/8)&lt;=0.2)</formula>
    </cfRule>
    <cfRule type="expression" dxfId="969" priority="1599">
      <formula>AND(((COUNTIF(AF16:AF23,"O")+COUNTIF(AF16:AF23,"L")+COUNTIF(AF16:AF23,"H1")+COUNTIF(AF16:AF23,"H2")+COUNTIF(AF16:AF23,"OY")+COUNTIF(AF16:AF23,"M")+COUNTIF(AF16:AF23,"V")+COUNTIF(AF16:AF23,"P"))/8)&gt;0.2,((COUNTIF(AF16:AF23,"O")+COUNTIF(AF16:AF23,"L")+COUNTIF(AF16:AF23,"H1")+COUNTIF(AF16:AF23,"H2")+COUNTIF(AF16:AF23,"OY")+COUNTIF(AF16:AF23,"M")+COUNTIF(AF16:AF23,"V")+COUNTIF(AF16:AF23,"P"))/8)&lt;=0.4)</formula>
    </cfRule>
    <cfRule type="expression" dxfId="968" priority="1600">
      <formula>AND(((COUNTIF(AF16:AF23,"O")+COUNTIF(AF16:AF23,"L")+COUNTIF(AF16:AF23,"H1")+COUNTIF(AF16:AF23,"H2")+COUNTIF(AF16:AF23,"OY")+COUNTIF(AF16:AF23,"M")+COUNTIF(AF16:AF23,"V")+COUNTIF(AF16:AF23,"P"))/8)&gt;=0.4,((COUNTIF(AF16:AF23,"O")+COUNTIF(AF16:AF23,"L")+COUNTIF(AF16:AF23,"H1")+COUNTIF(AF16:AF23,"H2")+COUNTIF(AF16:AF23,"OY")+COUNTIF(AF16:AF23,"M")+COUNTIF(AF16:AF23,"V")+COUNTIF(AF16:AF23,"P"))/8)&lt;=1)</formula>
    </cfRule>
  </conditionalFormatting>
  <conditionalFormatting sqref="R14:V14">
    <cfRule type="expression" dxfId="967" priority="1591" stopIfTrue="1">
      <formula>AND(R$7&lt;&gt;"",VLOOKUP(R$8,$NX$23:$NY$30,2,0)&lt;&gt;"Yes")</formula>
    </cfRule>
    <cfRule type="expression" dxfId="966" priority="1592" stopIfTrue="1">
      <formula>ISNUMBER(MATCH(DATE($B$4,$B$3+$B$5-1,R$7),HolidayListNamedRange,0))</formula>
    </cfRule>
  </conditionalFormatting>
  <conditionalFormatting sqref="R14:V14">
    <cfRule type="expression" dxfId="965" priority="1588">
      <formula>AND(((COUNTIF(R12:R13,"O")+COUNTIF(R12:R13,"L")+COUNTIF(R12:R13,"H1")+COUNTIF(R12:R13,"H2")+COUNTIF(R12:R13,"OY")+COUNTIF(R12:R13,"M")+COUNTIF(R12:R13,"V")+COUNTIF(R12:R13,"P"))/2)&gt;=0,((COUNTIF(R12:R13,"O")+COUNTIF(R12:R13,"L")+COUNTIF(R12:R13,"H1")+COUNTIF(R12:R13,"H2")+COUNTIF(R12:R13,"OY")+COUNTIF(R12:R13,"M")+COUNTIF(R12:R13,"V")+COUNTIF(R12:R13,"P"))/2)&lt;=0.2)</formula>
    </cfRule>
    <cfRule type="expression" dxfId="964" priority="1589">
      <formula>AND(((COUNTIF(R12:R13,"O")+COUNTIF(R12:R13,"L")+COUNTIF(R12:R13,"H1")+COUNTIF(R12:R13,"H2")+COUNTIF(R12:R13,"OY")+COUNTIF(R12:R13,"M")+COUNTIF(R12:R13,"V")+COUNTIF(R12:R13,"P"))/2)&gt;0.2,((COUNTIF(R12:R13,"O")+COUNTIF(R12:R13,"L")+COUNTIF(R12:R13,"H1")+COUNTIF(R12:R13,"H2")+COUNTIF(R12:R13,"OY")+COUNTIF(R12:R13,"M")+COUNTIF(R12:R13,"V")+COUNTIF(R12:R13,"P"))/2)&lt;=0.4)</formula>
    </cfRule>
    <cfRule type="expression" dxfId="963" priority="1590">
      <formula>AND(((COUNTIF(R12:R13,"O")+COUNTIF(R12:R13,"L")+COUNTIF(R12:R13,"H1")+COUNTIF(R12:R13,"H2")+COUNTIF(R12:R13,"OY")+COUNTIF(R12:R13,"M")+COUNTIF(R12:R13,"V")+COUNTIF(R12:R13,"P"))/2)&gt;=0.4,((COUNTIF(R12:R13,"O")+COUNTIF(R12:R13,"L")+COUNTIF(R12:R13,"H1")+COUNTIF(R12:R13,"H2")+COUNTIF(R12:R13,"OY")+COUNTIF(R12:R13,"M")+COUNTIF(R12:R13,"V")+COUNTIF(R12:R13,"P"))/2)&lt;=1)</formula>
    </cfRule>
  </conditionalFormatting>
  <conditionalFormatting sqref="Y14:AC14">
    <cfRule type="expression" dxfId="962" priority="1586" stopIfTrue="1">
      <formula>AND(Y$7&lt;&gt;"",VLOOKUP(Y$8,$NX$23:$NY$30,2,0)&lt;&gt;"Yes")</formula>
    </cfRule>
    <cfRule type="expression" dxfId="961" priority="1587" stopIfTrue="1">
      <formula>ISNUMBER(MATCH(DATE($B$4,$B$3+$B$5-1,Y$7),HolidayListNamedRange,0))</formula>
    </cfRule>
  </conditionalFormatting>
  <conditionalFormatting sqref="Y14:AC14">
    <cfRule type="expression" dxfId="960" priority="1583">
      <formula>AND(((COUNTIF(Y12:Y13,"O")+COUNTIF(Y12:Y13,"L")+COUNTIF(Y12:Y13,"H1")+COUNTIF(Y12:Y13,"H2")+COUNTIF(Y12:Y13,"OY")+COUNTIF(Y12:Y13,"M")+COUNTIF(Y12:Y13,"V")+COUNTIF(Y12:Y13,"P"))/2)&gt;=0,((COUNTIF(Y12:Y13,"O")+COUNTIF(Y12:Y13,"L")+COUNTIF(Y12:Y13,"H1")+COUNTIF(Y12:Y13,"H2")+COUNTIF(Y12:Y13,"OY")+COUNTIF(Y12:Y13,"M")+COUNTIF(Y12:Y13,"V")+COUNTIF(Y12:Y13,"P"))/2)&lt;=0.2)</formula>
    </cfRule>
    <cfRule type="expression" dxfId="959" priority="1584">
      <formula>AND(((COUNTIF(Y12:Y13,"O")+COUNTIF(Y12:Y13,"L")+COUNTIF(Y12:Y13,"H1")+COUNTIF(Y12:Y13,"H2")+COUNTIF(Y12:Y13,"OY")+COUNTIF(Y12:Y13,"M")+COUNTIF(Y12:Y13,"V")+COUNTIF(Y12:Y13,"P"))/2)&gt;0.2,((COUNTIF(Y12:Y13,"O")+COUNTIF(Y12:Y13,"L")+COUNTIF(Y12:Y13,"H1")+COUNTIF(Y12:Y13,"H2")+COUNTIF(Y12:Y13,"OY")+COUNTIF(Y12:Y13,"M")+COUNTIF(Y12:Y13,"V")+COUNTIF(Y12:Y13,"P"))/2)&lt;=0.4)</formula>
    </cfRule>
    <cfRule type="expression" dxfId="958" priority="1585">
      <formula>AND(((COUNTIF(Y12:Y13,"O")+COUNTIF(Y12:Y13,"L")+COUNTIF(Y12:Y13,"H1")+COUNTIF(Y12:Y13,"H2")+COUNTIF(Y12:Y13,"OY")+COUNTIF(Y12:Y13,"M")+COUNTIF(Y12:Y13,"V")+COUNTIF(Y12:Y13,"P"))/2)&gt;=0.4,((COUNTIF(Y12:Y13,"O")+COUNTIF(Y12:Y13,"L")+COUNTIF(Y12:Y13,"H1")+COUNTIF(Y12:Y13,"H2")+COUNTIF(Y12:Y13,"OY")+COUNTIF(Y12:Y13,"M")+COUNTIF(Y12:Y13,"V")+COUNTIF(Y12:Y13,"P"))/2)&lt;=1)</formula>
    </cfRule>
  </conditionalFormatting>
  <conditionalFormatting sqref="AF14">
    <cfRule type="expression" dxfId="957" priority="1581" stopIfTrue="1">
      <formula>AND(AF$7&lt;&gt;"",VLOOKUP(AF$8,$NX$23:$NY$30,2,0)&lt;&gt;"Yes")</formula>
    </cfRule>
    <cfRule type="expression" dxfId="956" priority="1582" stopIfTrue="1">
      <formula>ISNUMBER(MATCH(DATE($B$4,$B$3+$B$5-1,AF$7),HolidayListNamedRange,0))</formula>
    </cfRule>
  </conditionalFormatting>
  <conditionalFormatting sqref="AF14">
    <cfRule type="expression" dxfId="955" priority="1578">
      <formula>AND(((COUNTIF(AF12:AF13,"O")+COUNTIF(AF12:AF13,"L")+COUNTIF(AF12:AF13,"H1")+COUNTIF(AF12:AF13,"H2")+COUNTIF(AF12:AF13,"OY")+COUNTIF(AF12:AF13,"M")+COUNTIF(AF12:AF13,"V")+COUNTIF(AF12:AF13,"P"))/2)&gt;=0,((COUNTIF(AF12:AF13,"O")+COUNTIF(AF12:AF13,"L")+COUNTIF(AF12:AF13,"H1")+COUNTIF(AF12:AF13,"H2")+COUNTIF(AF12:AF13,"OY")+COUNTIF(AF12:AF13,"M")+COUNTIF(AF12:AF13,"V")+COUNTIF(AF12:AF13,"P"))/2)&lt;=0.2)</formula>
    </cfRule>
    <cfRule type="expression" dxfId="954" priority="1579">
      <formula>AND(((COUNTIF(AF12:AF13,"O")+COUNTIF(AF12:AF13,"L")+COUNTIF(AF12:AF13,"H1")+COUNTIF(AF12:AF13,"H2")+COUNTIF(AF12:AF13,"OY")+COUNTIF(AF12:AF13,"M")+COUNTIF(AF12:AF13,"V")+COUNTIF(AF12:AF13,"P"))/2)&gt;0.2,((COUNTIF(AF12:AF13,"O")+COUNTIF(AF12:AF13,"L")+COUNTIF(AF12:AF13,"H1")+COUNTIF(AF12:AF13,"H2")+COUNTIF(AF12:AF13,"OY")+COUNTIF(AF12:AF13,"M")+COUNTIF(AF12:AF13,"V")+COUNTIF(AF12:AF13,"P"))/2)&lt;=0.4)</formula>
    </cfRule>
    <cfRule type="expression" dxfId="953" priority="1580">
      <formula>AND(((COUNTIF(AF12:AF13,"O")+COUNTIF(AF12:AF13,"L")+COUNTIF(AF12:AF13,"H1")+COUNTIF(AF12:AF13,"H2")+COUNTIF(AF12:AF13,"OY")+COUNTIF(AF12:AF13,"M")+COUNTIF(AF12:AF13,"V")+COUNTIF(AF12:AF13,"P"))/2)&gt;=0.4,((COUNTIF(AF12:AF13,"O")+COUNTIF(AF12:AF13,"L")+COUNTIF(AF12:AF13,"H1")+COUNTIF(AF12:AF13,"H2")+COUNTIF(AF12:AF13,"OY")+COUNTIF(AF12:AF13,"M")+COUNTIF(AF12:AF13,"V")+COUNTIF(AF12:AF13,"P"))/2)&lt;=1)</formula>
    </cfRule>
  </conditionalFormatting>
  <conditionalFormatting sqref="K14:O14">
    <cfRule type="expression" dxfId="952" priority="1593" stopIfTrue="1">
      <formula>AND(K$7&lt;&gt;"",VLOOKUP(K$8,$NX$23:$NY$30,2,0)&lt;&gt;"Yes")</formula>
    </cfRule>
    <cfRule type="expression" dxfId="951" priority="1594" stopIfTrue="1">
      <formula>ISNUMBER(MATCH(DATE($B$4,$B$3+$B$5-1,K$7),HolidayListNamedRange,0))</formula>
    </cfRule>
    <cfRule type="expression" dxfId="950" priority="1595">
      <formula>AND(((COUNTIF(K12:K13,"O")+COUNTIF(K12:K13,"L")+COUNTIF(K12:K13,"H1")+COUNTIF(K12:K13,"H2")+COUNTIF(K12:K13,"OY")+COUNTIF(K12:K13,"M")+COUNTIF(K12:K13,"V")+COUNTIF(K12:K13,"P"))/2)&gt;=0,((COUNTIF(K12:K13,"O")+COUNTIF(K12:K13,"L")+COUNTIF(K12:K13,"H1")+COUNTIF(K12:K13,"H2")+COUNTIF(K12:K13,"OY")+COUNTIF(K12:K13,"M")+COUNTIF(K12:K13,"V")+COUNTIF(K12:K13,"P"))/2)&lt;=0.2)</formula>
    </cfRule>
    <cfRule type="expression" dxfId="949" priority="1596">
      <formula>AND(((COUNTIF(K12:K13,"O")+COUNTIF(K12:K13,"L")+COUNTIF(K12:K13,"H1")+COUNTIF(K12:K13,"H2")+COUNTIF(K12:K13,"OY")+COUNTIF(K12:K13,"M")+COUNTIF(K12:K13,"V")+COUNTIF(K12:K13,"P"))/2)&gt;0.2,((COUNTIF(K12:K13,"O")+COUNTIF(K12:K13,"L")+COUNTIF(K12:K13,"H1")+COUNTIF(K12:K13,"H2")+COUNTIF(K12:K13,"OY")+COUNTIF(K12:K13,"M")+COUNTIF(K12:K13,"V")+COUNTIF(K12:K13,"P"))/2)&lt;=0.4)</formula>
    </cfRule>
    <cfRule type="expression" dxfId="948" priority="1597">
      <formula>AND(((COUNTIF(K12:K13,"O")+COUNTIF(K12:K13,"L")+COUNTIF(K12:K13,"H1")+COUNTIF(K12:K13,"H2")+COUNTIF(K12:K13,"OY")+COUNTIF(K12:K13,"M")+COUNTIF(K12:K13,"V")+COUNTIF(K12:K13,"P"))/2)&gt;=0.4,((COUNTIF(K12:K13,"O")+COUNTIF(K12:K13,"L")+COUNTIF(K12:K13,"H1")+COUNTIF(K12:K13,"H2")+COUNTIF(K12:K13,"OY")+COUNTIF(K12:K13,"M")+COUNTIF(K12:K13,"V")+COUNTIF(K12:K13,"P"))/2)&lt;=1)</formula>
    </cfRule>
  </conditionalFormatting>
  <conditionalFormatting sqref="C14">
    <cfRule type="expression" dxfId="947" priority="1546" stopIfTrue="1">
      <formula>AND(C$7&lt;&gt;"",VLOOKUP(C$8,$NX$25:$NY$32,2,0)&lt;&gt;"Yes")</formula>
    </cfRule>
    <cfRule type="expression" dxfId="946" priority="1547" stopIfTrue="1">
      <formula>ISNUMBER(MATCH(DATE($B$4,$B$3+$B$5-1,C$7),HolidayListNamedRange,0))</formula>
    </cfRule>
  </conditionalFormatting>
  <conditionalFormatting sqref="I14:J14">
    <cfRule type="expression" dxfId="945" priority="1544" stopIfTrue="1">
      <formula>AND(I$7&lt;&gt;"",VLOOKUP(I$8,$NX$25:$NY$32,2,0)&lt;&gt;"Yes")</formula>
    </cfRule>
    <cfRule type="expression" dxfId="944" priority="1545" stopIfTrue="1">
      <formula>ISNUMBER(MATCH(DATE($B$4,$B$3+$B$5-1,I$7),HolidayListNamedRange,0))</formula>
    </cfRule>
  </conditionalFormatting>
  <conditionalFormatting sqref="P14:Q14">
    <cfRule type="expression" dxfId="943" priority="1542" stopIfTrue="1">
      <formula>AND(P$7&lt;&gt;"",VLOOKUP(P$8,$NX$25:$NY$32,2,0)&lt;&gt;"Yes")</formula>
    </cfRule>
    <cfRule type="expression" dxfId="942" priority="1543" stopIfTrue="1">
      <formula>ISNUMBER(MATCH(DATE($B$4,$B$3+$B$5-1,P$7),HolidayListNamedRange,0))</formula>
    </cfRule>
  </conditionalFormatting>
  <conditionalFormatting sqref="W14:X14">
    <cfRule type="expression" dxfId="941" priority="1540" stopIfTrue="1">
      <formula>AND(W$7&lt;&gt;"",VLOOKUP(W$8,$NX$25:$NY$32,2,0)&lt;&gt;"Yes")</formula>
    </cfRule>
    <cfRule type="expression" dxfId="940" priority="1541" stopIfTrue="1">
      <formula>ISNUMBER(MATCH(DATE($B$4,$B$3+$B$5-1,W$7),HolidayListNamedRange,0))</formula>
    </cfRule>
  </conditionalFormatting>
  <conditionalFormatting sqref="AD14:AE14">
    <cfRule type="expression" dxfId="939" priority="1538" stopIfTrue="1">
      <formula>AND(AD$7&lt;&gt;"",VLOOKUP(AD$8,$NX$25:$NY$32,2,0)&lt;&gt;"Yes")</formula>
    </cfRule>
    <cfRule type="expression" dxfId="938" priority="1539" stopIfTrue="1">
      <formula>ISNUMBER(MATCH(DATE($B$4,$B$3+$B$5-1,AD$7),HolidayListNamedRange,0))</formula>
    </cfRule>
  </conditionalFormatting>
  <conditionalFormatting sqref="AG14">
    <cfRule type="expression" dxfId="937" priority="1536" stopIfTrue="1">
      <formula>AND(AG$7&lt;&gt;"",VLOOKUP(AG$8,$NX$23:$NY$30,2,0)&lt;&gt;"Yes")</formula>
    </cfRule>
    <cfRule type="expression" dxfId="936" priority="1537" stopIfTrue="1">
      <formula>ISNUMBER(MATCH(DATE($B$4,$B$3+$B$5-1,AG$7),HolidayListNamedRange,0))</formula>
    </cfRule>
  </conditionalFormatting>
  <conditionalFormatting sqref="AG14">
    <cfRule type="expression" dxfId="935" priority="1533">
      <formula>AND(((COUNTIF(AG12:AG13,"O")+COUNTIF(AG12:AG13,"L")+COUNTIF(AG12:AG13,"H1")+COUNTIF(AG12:AG13,"H2")+COUNTIF(AG12:AG13,"OY")+COUNTIF(AG12:AG13,"M")+COUNTIF(AG12:AG13,"V")+COUNTIF(AG12:AG13,"P"))/2)&gt;=0,((COUNTIF(AG12:AG13,"O")+COUNTIF(AG12:AG13,"L")+COUNTIF(AG12:AG13,"H1")+COUNTIF(AG12:AG13,"H2")+COUNTIF(AG12:AG13,"OY")+COUNTIF(AG12:AG13,"M")+COUNTIF(AG12:AG13,"V")+COUNTIF(AG12:AG13,"P"))/2)&lt;=0.2)</formula>
    </cfRule>
    <cfRule type="expression" dxfId="934" priority="1534">
      <formula>AND(((COUNTIF(AG12:AG13,"O")+COUNTIF(AG12:AG13,"L")+COUNTIF(AG12:AG13,"H1")+COUNTIF(AG12:AG13,"H2")+COUNTIF(AG12:AG13,"OY")+COUNTIF(AG12:AG13,"M")+COUNTIF(AG12:AG13,"V")+COUNTIF(AG12:AG13,"P"))/2)&gt;0.2,((COUNTIF(AG12:AG13,"O")+COUNTIF(AG12:AG13,"L")+COUNTIF(AG12:AG13,"H1")+COUNTIF(AG12:AG13,"H2")+COUNTIF(AG12:AG13,"OY")+COUNTIF(AG12:AG13,"M")+COUNTIF(AG12:AG13,"V")+COUNTIF(AG12:AG13,"P"))/2)&lt;=0.4)</formula>
    </cfRule>
    <cfRule type="expression" dxfId="933" priority="1535">
      <formula>AND(((COUNTIF(AG12:AG13,"O")+COUNTIF(AG12:AG13,"L")+COUNTIF(AG12:AG13,"H1")+COUNTIF(AG12:AG13,"H2")+COUNTIF(AG12:AG13,"OY")+COUNTIF(AG12:AG13,"M")+COUNTIF(AG12:AG13,"V")+COUNTIF(AG12:AG13,"P"))/2)&gt;=0.4,((COUNTIF(AG12:AG13,"O")+COUNTIF(AG12:AG13,"L")+COUNTIF(AG12:AG13,"H1")+COUNTIF(AG12:AG13,"H2")+COUNTIF(AG12:AG13,"OY")+COUNTIF(AG12:AG13,"M")+COUNTIF(AG12:AG13,"V")+COUNTIF(AG12:AG13,"P"))/2)&lt;=1)</formula>
    </cfRule>
  </conditionalFormatting>
  <conditionalFormatting sqref="AG24">
    <cfRule type="expression" dxfId="932" priority="1446" stopIfTrue="1">
      <formula>AND(AG$7&lt;&gt;"",VLOOKUP(AG$8,$NX$23:$NY$30,2,0)&lt;&gt;"Yes")</formula>
    </cfRule>
    <cfRule type="expression" dxfId="931" priority="1447" stopIfTrue="1">
      <formula>ISNUMBER(MATCH(DATE($B$4,$B$3+$B$5-1,AG$7),HolidayListNamedRange,0))</formula>
    </cfRule>
  </conditionalFormatting>
  <conditionalFormatting sqref="AG24">
    <cfRule type="expression" dxfId="930" priority="1443">
      <formula>AND(((COUNTIF(AG16:AG23,"O")+COUNTIF(AG16:AG23,"L")+COUNTIF(AG16:AG23,"H1")+COUNTIF(AG16:AG23,"H2")+COUNTIF(AG16:AG23,"OY")+COUNTIF(AG16:AG23,"M")+COUNTIF(AG16:AG23,"V")+COUNTIF(AG16:AG23,"P"))/8)&gt;=0,((COUNTIF(AG16:AG23,"O")+COUNTIF(AG16:AG23,"L")+COUNTIF(AG16:AG23,"H1")+COUNTIF(AG16:AG23,"H2")+COUNTIF(AG16:AG23,"OY")+COUNTIF(AG16:AG23,"M")+COUNTIF(AG16:AG23,"V")+COUNTIF(AG16:AG23,"P"))/8)&lt;=0.2)</formula>
    </cfRule>
    <cfRule type="expression" dxfId="929" priority="1444">
      <formula>AND(((COUNTIF(AG16:AG23,"O")+COUNTIF(AG16:AG23,"L")+COUNTIF(AG16:AG23,"H1")+COUNTIF(AG16:AG23,"H2")+COUNTIF(AG16:AG23,"OY")+COUNTIF(AG16:AG23,"M")+COUNTIF(AG16:AG23,"V")+COUNTIF(AG16:AG23,"P"))/8)&gt;0.2,((COUNTIF(AG16:AG23,"O")+COUNTIF(AG16:AG23,"L")+COUNTIF(AG16:AG23,"H1")+COUNTIF(AG16:AG23,"H2")+COUNTIF(AG16:AG23,"OY")+COUNTIF(AG16:AG23,"M")+COUNTIF(AG16:AG23,"V")+COUNTIF(AG16:AG23,"P"))/8)&lt;=0.4)</formula>
    </cfRule>
    <cfRule type="expression" dxfId="928" priority="1445">
      <formula>AND(((COUNTIF(AG16:AG23,"O")+COUNTIF(AG16:AG23,"L")+COUNTIF(AG16:AG23,"H1")+COUNTIF(AG16:AG23,"H2")+COUNTIF(AG16:AG23,"OY")+COUNTIF(AG16:AG23,"M")+COUNTIF(AG16:AG23,"V")+COUNTIF(AG16:AG23,"P"))/8)&gt;=0.4,((COUNTIF(AG16:AG23,"O")+COUNTIF(AG16:AG23,"L")+COUNTIF(AG16:AG23,"H1")+COUNTIF(AG16:AG23,"H2")+COUNTIF(AG16:AG23,"OY")+COUNTIF(AG16:AG23,"M")+COUNTIF(AG16:AG23,"V")+COUNTIF(AG16:AG23,"P"))/8)&lt;=1)</formula>
    </cfRule>
  </conditionalFormatting>
  <conditionalFormatting sqref="AH14:AJ14">
    <cfRule type="expression" dxfId="927" priority="1427" stopIfTrue="1">
      <formula>AND(AH$7&lt;&gt;"",VLOOKUP(AH$8,$NX$23:$NY$30,2,0)&lt;&gt;"Yes")</formula>
    </cfRule>
    <cfRule type="expression" dxfId="926" priority="1428" stopIfTrue="1">
      <formula>ISNUMBER(MATCH(DATE($B$4,$B$3+$B$5-1,AH$7),HolidayListNamedRange,0))</formula>
    </cfRule>
  </conditionalFormatting>
  <conditionalFormatting sqref="AH10:AJ13">
    <cfRule type="expression" dxfId="925" priority="1431" stopIfTrue="1">
      <formula>AND(AH$7&lt;&gt;"",VLOOKUP(AH$8,$NX$25:$NY$32,2,0)&lt;&gt;"Yes")</formula>
    </cfRule>
    <cfRule type="expression" dxfId="924" priority="1432" stopIfTrue="1">
      <formula>ISNUMBER(MATCH(DATE($B$4,$B$3+$B$5-1,AH$7),HolidayListNamedRange,0))</formula>
    </cfRule>
  </conditionalFormatting>
  <conditionalFormatting sqref="AH45:AJ45">
    <cfRule type="expression" dxfId="923" priority="1429" stopIfTrue="1">
      <formula>AND(AH$7&lt;&gt;"",VLOOKUP(AH$8,$NX$25:$NY$32,2,0)&lt;&gt;"Yes")</formula>
    </cfRule>
    <cfRule type="expression" dxfId="922" priority="1430" stopIfTrue="1">
      <formula>ISNUMBER(MATCH(DATE($B$4,$B$3+$B$5-1,AH$7),HolidayListNamedRange,0))</formula>
    </cfRule>
  </conditionalFormatting>
  <conditionalFormatting sqref="AH14:AJ14">
    <cfRule type="expression" dxfId="921" priority="1424">
      <formula>AND(((COUNTIF(AH12:AH13,"O")+COUNTIF(AH12:AH13,"L")+COUNTIF(AH12:AH13,"H1")+COUNTIF(AH12:AH13,"H2")+COUNTIF(AH12:AH13,"OY")+COUNTIF(AH12:AH13,"M")+COUNTIF(AH12:AH13,"V")+COUNTIF(AH12:AH13,"P"))/2)&gt;=0,((COUNTIF(AH12:AH13,"O")+COUNTIF(AH12:AH13,"L")+COUNTIF(AH12:AH13,"H1")+COUNTIF(AH12:AH13,"H2")+COUNTIF(AH12:AH13,"OY")+COUNTIF(AH12:AH13,"M")+COUNTIF(AH12:AH13,"V")+COUNTIF(AH12:AH13,"P"))/2)&lt;=0.2)</formula>
    </cfRule>
    <cfRule type="expression" dxfId="920" priority="1425">
      <formula>AND(((COUNTIF(AH12:AH13,"O")+COUNTIF(AH12:AH13,"L")+COUNTIF(AH12:AH13,"H1")+COUNTIF(AH12:AH13,"H2")+COUNTIF(AH12:AH13,"OY")+COUNTIF(AH12:AH13,"M")+COUNTIF(AH12:AH13,"V")+COUNTIF(AH12:AH13,"P"))/2)&gt;0.2,((COUNTIF(AH12:AH13,"O")+COUNTIF(AH12:AH13,"L")+COUNTIF(AH12:AH13,"H1")+COUNTIF(AH12:AH13,"H2")+COUNTIF(AH12:AH13,"OY")+COUNTIF(AH12:AH13,"M")+COUNTIF(AH12:AH13,"V")+COUNTIF(AH12:AH13,"P"))/2)&lt;=0.4)</formula>
    </cfRule>
    <cfRule type="expression" dxfId="919" priority="1426">
      <formula>AND(((COUNTIF(AH12:AH13,"O")+COUNTIF(AH12:AH13,"L")+COUNTIF(AH12:AH13,"H1")+COUNTIF(AH12:AH13,"H2")+COUNTIF(AH12:AH13,"OY")+COUNTIF(AH12:AH13,"M")+COUNTIF(AH12:AH13,"V")+COUNTIF(AH12:AH13,"P"))/2)&gt;=0.4,((COUNTIF(AH12:AH13,"O")+COUNTIF(AH12:AH13,"L")+COUNTIF(AH12:AH13,"H1")+COUNTIF(AH12:AH13,"H2")+COUNTIF(AH12:AH13,"OY")+COUNTIF(AH12:AH13,"M")+COUNTIF(AH12:AH13,"V")+COUNTIF(AH12:AH13,"P"))/2)&lt;=1)</formula>
    </cfRule>
  </conditionalFormatting>
  <conditionalFormatting sqref="AH24:AJ24">
    <cfRule type="expression" dxfId="918" priority="1422" stopIfTrue="1">
      <formula>AND(AH$7&lt;&gt;"",VLOOKUP(AH$8,$NX$23:$NY$30,2,0)&lt;&gt;"Yes")</formula>
    </cfRule>
    <cfRule type="expression" dxfId="917" priority="1423" stopIfTrue="1">
      <formula>ISNUMBER(MATCH(DATE($B$4,$B$3+$B$5-1,AH$7),HolidayListNamedRange,0))</formula>
    </cfRule>
  </conditionalFormatting>
  <conditionalFormatting sqref="AH24:AJ24">
    <cfRule type="expression" dxfId="916" priority="1419">
      <formula>AND(((COUNTIF(AH16:AH23,"O")+COUNTIF(AH16:AH23,"L")+COUNTIF(AH16:AH23,"H1")+COUNTIF(AH16:AH23,"H2")+COUNTIF(AH16:AH23,"OY")+COUNTIF(AH16:AH23,"M")+COUNTIF(AH16:AH23,"V")+COUNTIF(AH16:AH23,"P"))/8)&gt;=0,((COUNTIF(AH16:AH23,"O")+COUNTIF(AH16:AH23,"L")+COUNTIF(AH16:AH23,"H1")+COUNTIF(AH16:AH23,"H2")+COUNTIF(AH16:AH23,"OY")+COUNTIF(AH16:AH23,"M")+COUNTIF(AH16:AH23,"V")+COUNTIF(AH16:AH23,"P"))/8)&lt;=0.2)</formula>
    </cfRule>
    <cfRule type="expression" dxfId="915" priority="1420">
      <formula>AND(((COUNTIF(AH16:AH23,"O")+COUNTIF(AH16:AH23,"L")+COUNTIF(AH16:AH23,"H1")+COUNTIF(AH16:AH23,"H2")+COUNTIF(AH16:AH23,"OY")+COUNTIF(AH16:AH23,"M")+COUNTIF(AH16:AH23,"V")+COUNTIF(AH16:AH23,"P"))/8)&gt;0.2,((COUNTIF(AH16:AH23,"O")+COUNTIF(AH16:AH23,"L")+COUNTIF(AH16:AH23,"H1")+COUNTIF(AH16:AH23,"H2")+COUNTIF(AH16:AH23,"OY")+COUNTIF(AH16:AH23,"M")+COUNTIF(AH16:AH23,"V")+COUNTIF(AH16:AH23,"P"))/8)&lt;=0.4)</formula>
    </cfRule>
    <cfRule type="expression" dxfId="914" priority="1421">
      <formula>AND(((COUNTIF(AH16:AH23,"O")+COUNTIF(AH16:AH23,"L")+COUNTIF(AH16:AH23,"H1")+COUNTIF(AH16:AH23,"H2")+COUNTIF(AH16:AH23,"OY")+COUNTIF(AH16:AH23,"M")+COUNTIF(AH16:AH23,"V")+COUNTIF(AH16:AH23,"P"))/8)&gt;=0.4,((COUNTIF(AH16:AH23,"O")+COUNTIF(AH16:AH23,"L")+COUNTIF(AH16:AH23,"H1")+COUNTIF(AH16:AH23,"H2")+COUNTIF(AH16:AH23,"OY")+COUNTIF(AH16:AH23,"M")+COUNTIF(AH16:AH23,"V")+COUNTIF(AH16:AH23,"P"))/8)&lt;=1)</formula>
    </cfRule>
  </conditionalFormatting>
  <conditionalFormatting sqref="AM10:AQ13">
    <cfRule type="expression" dxfId="913" priority="1407" stopIfTrue="1">
      <formula>AND(AM$7&lt;&gt;"",VLOOKUP(AM$8,$NX$25:$NY$32,2,0)&lt;&gt;"Yes")</formula>
    </cfRule>
    <cfRule type="expression" dxfId="912" priority="1408" stopIfTrue="1">
      <formula>ISNUMBER(MATCH(DATE($B$4,$B$3+$B$5-1,AM$7),HolidayListNamedRange,0))</formula>
    </cfRule>
  </conditionalFormatting>
  <conditionalFormatting sqref="AM14:AQ14">
    <cfRule type="expression" dxfId="911" priority="1405" stopIfTrue="1">
      <formula>AND(AM$7&lt;&gt;"",VLOOKUP(AM$8,$NX$23:$NY$30,2,0)&lt;&gt;"Yes")</formula>
    </cfRule>
    <cfRule type="expression" dxfId="910" priority="1406" stopIfTrue="1">
      <formula>ISNUMBER(MATCH(DATE($B$4,$B$3+$B$5-1,AM$7),HolidayListNamedRange,0))</formula>
    </cfRule>
  </conditionalFormatting>
  <conditionalFormatting sqref="AM14:AQ14">
    <cfRule type="expression" dxfId="909" priority="1402">
      <formula>AND(((COUNTIF(AM12:AM13,"O")+COUNTIF(AM12:AM13,"L")+COUNTIF(AM12:AM13,"H1")+COUNTIF(AM12:AM13,"H2")+COUNTIF(AM12:AM13,"OY")+COUNTIF(AM12:AM13,"M")+COUNTIF(AM12:AM13,"V")+COUNTIF(AM12:AM13,"P"))/2)&gt;=0,((COUNTIF(AM12:AM13,"O")+COUNTIF(AM12:AM13,"L")+COUNTIF(AM12:AM13,"H1")+COUNTIF(AM12:AM13,"H2")+COUNTIF(AM12:AM13,"OY")+COUNTIF(AM12:AM13,"M")+COUNTIF(AM12:AM13,"V")+COUNTIF(AM12:AM13,"P"))/2)&lt;=0.2)</formula>
    </cfRule>
    <cfRule type="expression" dxfId="908" priority="1403">
      <formula>AND(((COUNTIF(AM12:AM13,"O")+COUNTIF(AM12:AM13,"L")+COUNTIF(AM12:AM13,"H1")+COUNTIF(AM12:AM13,"H2")+COUNTIF(AM12:AM13,"OY")+COUNTIF(AM12:AM13,"M")+COUNTIF(AM12:AM13,"V")+COUNTIF(AM12:AM13,"P"))/2)&gt;0.2,((COUNTIF(AM12:AM13,"O")+COUNTIF(AM12:AM13,"L")+COUNTIF(AM12:AM13,"H1")+COUNTIF(AM12:AM13,"H2")+COUNTIF(AM12:AM13,"OY")+COUNTIF(AM12:AM13,"M")+COUNTIF(AM12:AM13,"V")+COUNTIF(AM12:AM13,"P"))/2)&lt;=0.4)</formula>
    </cfRule>
    <cfRule type="expression" dxfId="907" priority="1404">
      <formula>AND(((COUNTIF(AM12:AM13,"O")+COUNTIF(AM12:AM13,"L")+COUNTIF(AM12:AM13,"H1")+COUNTIF(AM12:AM13,"H2")+COUNTIF(AM12:AM13,"OY")+COUNTIF(AM12:AM13,"M")+COUNTIF(AM12:AM13,"V")+COUNTIF(AM12:AM13,"P"))/2)&gt;=0.4,((COUNTIF(AM12:AM13,"O")+COUNTIF(AM12:AM13,"L")+COUNTIF(AM12:AM13,"H1")+COUNTIF(AM12:AM13,"H2")+COUNTIF(AM12:AM13,"OY")+COUNTIF(AM12:AM13,"M")+COUNTIF(AM12:AM13,"V")+COUNTIF(AM12:AM13,"P"))/2)&lt;=1)</formula>
    </cfRule>
  </conditionalFormatting>
  <conditionalFormatting sqref="AM24:AQ24">
    <cfRule type="expression" dxfId="906" priority="1400" stopIfTrue="1">
      <formula>AND(AM$7&lt;&gt;"",VLOOKUP(AM$8,$NX$23:$NY$30,2,0)&lt;&gt;"Yes")</formula>
    </cfRule>
    <cfRule type="expression" dxfId="905" priority="1401" stopIfTrue="1">
      <formula>ISNUMBER(MATCH(DATE($B$4,$B$3+$B$5-1,AM$7),HolidayListNamedRange,0))</formula>
    </cfRule>
  </conditionalFormatting>
  <conditionalFormatting sqref="AM24:AQ24">
    <cfRule type="expression" dxfId="904" priority="1397">
      <formula>AND(((COUNTIF(AM16:AM23,"O")+COUNTIF(AM16:AM23,"L")+COUNTIF(AM16:AM23,"H1")+COUNTIF(AM16:AM23,"H2")+COUNTIF(AM16:AM23,"OY")+COUNTIF(AM16:AM23,"M")+COUNTIF(AM16:AM23,"V")+COUNTIF(AM16:AM23,"P"))/8)&gt;=0,((COUNTIF(AM16:AM23,"O")+COUNTIF(AM16:AM23,"L")+COUNTIF(AM16:AM23,"H1")+COUNTIF(AM16:AM23,"H2")+COUNTIF(AM16:AM23,"OY")+COUNTIF(AM16:AM23,"M")+COUNTIF(AM16:AM23,"V")+COUNTIF(AM16:AM23,"P"))/8)&lt;=0.2)</formula>
    </cfRule>
    <cfRule type="expression" dxfId="903" priority="1398">
      <formula>AND(((COUNTIF(AM16:AM23,"O")+COUNTIF(AM16:AM23,"L")+COUNTIF(AM16:AM23,"H1")+COUNTIF(AM16:AM23,"H2")+COUNTIF(AM16:AM23,"OY")+COUNTIF(AM16:AM23,"M")+COUNTIF(AM16:AM23,"V")+COUNTIF(AM16:AM23,"P"))/8)&gt;0.2,((COUNTIF(AM16:AM23,"O")+COUNTIF(AM16:AM23,"L")+COUNTIF(AM16:AM23,"H1")+COUNTIF(AM16:AM23,"H2")+COUNTIF(AM16:AM23,"OY")+COUNTIF(AM16:AM23,"M")+COUNTIF(AM16:AM23,"V")+COUNTIF(AM16:AM23,"P"))/8)&lt;=0.4)</formula>
    </cfRule>
    <cfRule type="expression" dxfId="902" priority="1399">
      <formula>AND(((COUNTIF(AM16:AM23,"O")+COUNTIF(AM16:AM23,"L")+COUNTIF(AM16:AM23,"H1")+COUNTIF(AM16:AM23,"H2")+COUNTIF(AM16:AM23,"OY")+COUNTIF(AM16:AM23,"M")+COUNTIF(AM16:AM23,"V")+COUNTIF(AM16:AM23,"P"))/8)&gt;=0.4,((COUNTIF(AM16:AM23,"O")+COUNTIF(AM16:AM23,"L")+COUNTIF(AM16:AM23,"H1")+COUNTIF(AM16:AM23,"H2")+COUNTIF(AM16:AM23,"OY")+COUNTIF(AM16:AM23,"M")+COUNTIF(AM16:AM23,"V")+COUNTIF(AM16:AM23,"P"))/8)&lt;=1)</formula>
    </cfRule>
  </conditionalFormatting>
  <conditionalFormatting sqref="AT10:AX13">
    <cfRule type="expression" dxfId="901" priority="1385" stopIfTrue="1">
      <formula>AND(AT$7&lt;&gt;"",VLOOKUP(AT$8,$NX$25:$NY$32,2,0)&lt;&gt;"Yes")</formula>
    </cfRule>
    <cfRule type="expression" dxfId="900" priority="1386" stopIfTrue="1">
      <formula>ISNUMBER(MATCH(DATE($B$4,$B$3+$B$5-1,AT$7),HolidayListNamedRange,0))</formula>
    </cfRule>
  </conditionalFormatting>
  <conditionalFormatting sqref="AT14:AX14">
    <cfRule type="expression" dxfId="899" priority="1383" stopIfTrue="1">
      <formula>AND(AT$7&lt;&gt;"",VLOOKUP(AT$8,$NX$23:$NY$30,2,0)&lt;&gt;"Yes")</formula>
    </cfRule>
    <cfRule type="expression" dxfId="898" priority="1384" stopIfTrue="1">
      <formula>ISNUMBER(MATCH(DATE($B$4,$B$3+$B$5-1,AT$7),HolidayListNamedRange,0))</formula>
    </cfRule>
  </conditionalFormatting>
  <conditionalFormatting sqref="AT14:AX14">
    <cfRule type="expression" dxfId="897" priority="1380">
      <formula>AND(((COUNTIF(AT12:AT13,"O")+COUNTIF(AT12:AT13,"L")+COUNTIF(AT12:AT13,"H1")+COUNTIF(AT12:AT13,"H2")+COUNTIF(AT12:AT13,"OY")+COUNTIF(AT12:AT13,"M")+COUNTIF(AT12:AT13,"V")+COUNTIF(AT12:AT13,"P"))/2)&gt;=0,((COUNTIF(AT12:AT13,"O")+COUNTIF(AT12:AT13,"L")+COUNTIF(AT12:AT13,"H1")+COUNTIF(AT12:AT13,"H2")+COUNTIF(AT12:AT13,"OY")+COUNTIF(AT12:AT13,"M")+COUNTIF(AT12:AT13,"V")+COUNTIF(AT12:AT13,"P"))/2)&lt;=0.2)</formula>
    </cfRule>
    <cfRule type="expression" dxfId="896" priority="1381">
      <formula>AND(((COUNTIF(AT12:AT13,"O")+COUNTIF(AT12:AT13,"L")+COUNTIF(AT12:AT13,"H1")+COUNTIF(AT12:AT13,"H2")+COUNTIF(AT12:AT13,"OY")+COUNTIF(AT12:AT13,"M")+COUNTIF(AT12:AT13,"V")+COUNTIF(AT12:AT13,"P"))/2)&gt;0.2,((COUNTIF(AT12:AT13,"O")+COUNTIF(AT12:AT13,"L")+COUNTIF(AT12:AT13,"H1")+COUNTIF(AT12:AT13,"H2")+COUNTIF(AT12:AT13,"OY")+COUNTIF(AT12:AT13,"M")+COUNTIF(AT12:AT13,"V")+COUNTIF(AT12:AT13,"P"))/2)&lt;=0.4)</formula>
    </cfRule>
    <cfRule type="expression" dxfId="895" priority="1382">
      <formula>AND(((COUNTIF(AT12:AT13,"O")+COUNTIF(AT12:AT13,"L")+COUNTIF(AT12:AT13,"H1")+COUNTIF(AT12:AT13,"H2")+COUNTIF(AT12:AT13,"OY")+COUNTIF(AT12:AT13,"M")+COUNTIF(AT12:AT13,"V")+COUNTIF(AT12:AT13,"P"))/2)&gt;=0.4,((COUNTIF(AT12:AT13,"O")+COUNTIF(AT12:AT13,"L")+COUNTIF(AT12:AT13,"H1")+COUNTIF(AT12:AT13,"H2")+COUNTIF(AT12:AT13,"OY")+COUNTIF(AT12:AT13,"M")+COUNTIF(AT12:AT13,"V")+COUNTIF(AT12:AT13,"P"))/2)&lt;=1)</formula>
    </cfRule>
  </conditionalFormatting>
  <conditionalFormatting sqref="AT24:AX24">
    <cfRule type="expression" dxfId="894" priority="1378" stopIfTrue="1">
      <formula>AND(AT$7&lt;&gt;"",VLOOKUP(AT$8,$NX$23:$NY$30,2,0)&lt;&gt;"Yes")</formula>
    </cfRule>
    <cfRule type="expression" dxfId="893" priority="1379" stopIfTrue="1">
      <formula>ISNUMBER(MATCH(DATE($B$4,$B$3+$B$5-1,AT$7),HolidayListNamedRange,0))</formula>
    </cfRule>
  </conditionalFormatting>
  <conditionalFormatting sqref="AT24:AX24">
    <cfRule type="expression" dxfId="892" priority="1375">
      <formula>AND(((COUNTIF(AT16:AT23,"O")+COUNTIF(AT16:AT23,"L")+COUNTIF(AT16:AT23,"H1")+COUNTIF(AT16:AT23,"H2")+COUNTIF(AT16:AT23,"OY")+COUNTIF(AT16:AT23,"M")+COUNTIF(AT16:AT23,"V")+COUNTIF(AT16:AT23,"P"))/8)&gt;=0,((COUNTIF(AT16:AT23,"O")+COUNTIF(AT16:AT23,"L")+COUNTIF(AT16:AT23,"H1")+COUNTIF(AT16:AT23,"H2")+COUNTIF(AT16:AT23,"OY")+COUNTIF(AT16:AT23,"M")+COUNTIF(AT16:AT23,"V")+COUNTIF(AT16:AT23,"P"))/8)&lt;=0.2)</formula>
    </cfRule>
    <cfRule type="expression" dxfId="891" priority="1376">
      <formula>AND(((COUNTIF(AT16:AT23,"O")+COUNTIF(AT16:AT23,"L")+COUNTIF(AT16:AT23,"H1")+COUNTIF(AT16:AT23,"H2")+COUNTIF(AT16:AT23,"OY")+COUNTIF(AT16:AT23,"M")+COUNTIF(AT16:AT23,"V")+COUNTIF(AT16:AT23,"P"))/8)&gt;0.2,((COUNTIF(AT16:AT23,"O")+COUNTIF(AT16:AT23,"L")+COUNTIF(AT16:AT23,"H1")+COUNTIF(AT16:AT23,"H2")+COUNTIF(AT16:AT23,"OY")+COUNTIF(AT16:AT23,"M")+COUNTIF(AT16:AT23,"V")+COUNTIF(AT16:AT23,"P"))/8)&lt;=0.4)</formula>
    </cfRule>
    <cfRule type="expression" dxfId="890" priority="1377">
      <formula>AND(((COUNTIF(AT16:AT23,"O")+COUNTIF(AT16:AT23,"L")+COUNTIF(AT16:AT23,"H1")+COUNTIF(AT16:AT23,"H2")+COUNTIF(AT16:AT23,"OY")+COUNTIF(AT16:AT23,"M")+COUNTIF(AT16:AT23,"V")+COUNTIF(AT16:AT23,"P"))/8)&gt;=0.4,((COUNTIF(AT16:AT23,"O")+COUNTIF(AT16:AT23,"L")+COUNTIF(AT16:AT23,"H1")+COUNTIF(AT16:AT23,"H2")+COUNTIF(AT16:AT23,"OY")+COUNTIF(AT16:AT23,"M")+COUNTIF(AT16:AT23,"V")+COUNTIF(AT16:AT23,"P"))/8)&lt;=1)</formula>
    </cfRule>
  </conditionalFormatting>
  <conditionalFormatting sqref="BB10:BE13">
    <cfRule type="expression" dxfId="889" priority="1363" stopIfTrue="1">
      <formula>AND(BB$7&lt;&gt;"",VLOOKUP(BB$8,$NX$25:$NY$32,2,0)&lt;&gt;"Yes")</formula>
    </cfRule>
    <cfRule type="expression" dxfId="888" priority="1364" stopIfTrue="1">
      <formula>ISNUMBER(MATCH(DATE($B$4,$B$3+$B$5-1,BB$7),HolidayListNamedRange,0))</formula>
    </cfRule>
  </conditionalFormatting>
  <conditionalFormatting sqref="BB14:BE14">
    <cfRule type="expression" dxfId="887" priority="1361" stopIfTrue="1">
      <formula>AND(BB$7&lt;&gt;"",VLOOKUP(BB$8,$NX$23:$NY$30,2,0)&lt;&gt;"Yes")</formula>
    </cfRule>
    <cfRule type="expression" dxfId="886" priority="1362" stopIfTrue="1">
      <formula>ISNUMBER(MATCH(DATE($B$4,$B$3+$B$5-1,BB$7),HolidayListNamedRange,0))</formula>
    </cfRule>
  </conditionalFormatting>
  <conditionalFormatting sqref="BB14:BE14">
    <cfRule type="expression" dxfId="885" priority="1358">
      <formula>AND(((COUNTIF(BB12:BB13,"O")+COUNTIF(BB12:BB13,"L")+COUNTIF(BB12:BB13,"H1")+COUNTIF(BB12:BB13,"H2")+COUNTIF(BB12:BB13,"OY")+COUNTIF(BB12:BB13,"M")+COUNTIF(BB12:BB13,"V")+COUNTIF(BB12:BB13,"P"))/2)&gt;=0,((COUNTIF(BB12:BB13,"O")+COUNTIF(BB12:BB13,"L")+COUNTIF(BB12:BB13,"H1")+COUNTIF(BB12:BB13,"H2")+COUNTIF(BB12:BB13,"OY")+COUNTIF(BB12:BB13,"M")+COUNTIF(BB12:BB13,"V")+COUNTIF(BB12:BB13,"P"))/2)&lt;=0.2)</formula>
    </cfRule>
    <cfRule type="expression" dxfId="884" priority="1359">
      <formula>AND(((COUNTIF(BB12:BB13,"O")+COUNTIF(BB12:BB13,"L")+COUNTIF(BB12:BB13,"H1")+COUNTIF(BB12:BB13,"H2")+COUNTIF(BB12:BB13,"OY")+COUNTIF(BB12:BB13,"M")+COUNTIF(BB12:BB13,"V")+COUNTIF(BB12:BB13,"P"))/2)&gt;0.2,((COUNTIF(BB12:BB13,"O")+COUNTIF(BB12:BB13,"L")+COUNTIF(BB12:BB13,"H1")+COUNTIF(BB12:BB13,"H2")+COUNTIF(BB12:BB13,"OY")+COUNTIF(BB12:BB13,"M")+COUNTIF(BB12:BB13,"V")+COUNTIF(BB12:BB13,"P"))/2)&lt;=0.4)</formula>
    </cfRule>
    <cfRule type="expression" dxfId="883" priority="1360">
      <formula>AND(((COUNTIF(BB12:BB13,"O")+COUNTIF(BB12:BB13,"L")+COUNTIF(BB12:BB13,"H1")+COUNTIF(BB12:BB13,"H2")+COUNTIF(BB12:BB13,"OY")+COUNTIF(BB12:BB13,"M")+COUNTIF(BB12:BB13,"V")+COUNTIF(BB12:BB13,"P"))/2)&gt;=0.4,((COUNTIF(BB12:BB13,"O")+COUNTIF(BB12:BB13,"L")+COUNTIF(BB12:BB13,"H1")+COUNTIF(BB12:BB13,"H2")+COUNTIF(BB12:BB13,"OY")+COUNTIF(BB12:BB13,"M")+COUNTIF(BB12:BB13,"V")+COUNTIF(BB12:BB13,"P"))/2)&lt;=1)</formula>
    </cfRule>
  </conditionalFormatting>
  <conditionalFormatting sqref="BB24:BE24">
    <cfRule type="expression" dxfId="882" priority="1356" stopIfTrue="1">
      <formula>AND(BB$7&lt;&gt;"",VLOOKUP(BB$8,$NX$23:$NY$30,2,0)&lt;&gt;"Yes")</formula>
    </cfRule>
    <cfRule type="expression" dxfId="881" priority="1357" stopIfTrue="1">
      <formula>ISNUMBER(MATCH(DATE($B$4,$B$3+$B$5-1,BB$7),HolidayListNamedRange,0))</formula>
    </cfRule>
  </conditionalFormatting>
  <conditionalFormatting sqref="BB24:BE24">
    <cfRule type="expression" dxfId="880" priority="1353">
      <formula>AND(((COUNTIF(BB16:BB23,"O")+COUNTIF(BB16:BB23,"L")+COUNTIF(BB16:BB23,"H1")+COUNTIF(BB16:BB23,"H2")+COUNTIF(BB16:BB23,"OY")+COUNTIF(BB16:BB23,"M")+COUNTIF(BB16:BB23,"V")+COUNTIF(BB16:BB23,"P"))/8)&gt;=0,((COUNTIF(BB16:BB23,"O")+COUNTIF(BB16:BB23,"L")+COUNTIF(BB16:BB23,"H1")+COUNTIF(BB16:BB23,"H2")+COUNTIF(BB16:BB23,"OY")+COUNTIF(BB16:BB23,"M")+COUNTIF(BB16:BB23,"V")+COUNTIF(BB16:BB23,"P"))/8)&lt;=0.2)</formula>
    </cfRule>
    <cfRule type="expression" dxfId="879" priority="1354">
      <formula>AND(((COUNTIF(BB16:BB23,"O")+COUNTIF(BB16:BB23,"L")+COUNTIF(BB16:BB23,"H1")+COUNTIF(BB16:BB23,"H2")+COUNTIF(BB16:BB23,"OY")+COUNTIF(BB16:BB23,"M")+COUNTIF(BB16:BB23,"V")+COUNTIF(BB16:BB23,"P"))/8)&gt;0.2,((COUNTIF(BB16:BB23,"O")+COUNTIF(BB16:BB23,"L")+COUNTIF(BB16:BB23,"H1")+COUNTIF(BB16:BB23,"H2")+COUNTIF(BB16:BB23,"OY")+COUNTIF(BB16:BB23,"M")+COUNTIF(BB16:BB23,"V")+COUNTIF(BB16:BB23,"P"))/8)&lt;=0.4)</formula>
    </cfRule>
    <cfRule type="expression" dxfId="878" priority="1355">
      <formula>AND(((COUNTIF(BB16:BB23,"O")+COUNTIF(BB16:BB23,"L")+COUNTIF(BB16:BB23,"H1")+COUNTIF(BB16:BB23,"H2")+COUNTIF(BB16:BB23,"OY")+COUNTIF(BB16:BB23,"M")+COUNTIF(BB16:BB23,"V")+COUNTIF(BB16:BB23,"P"))/8)&gt;=0.4,((COUNTIF(BB16:BB23,"O")+COUNTIF(BB16:BB23,"L")+COUNTIF(BB16:BB23,"H1")+COUNTIF(BB16:BB23,"H2")+COUNTIF(BB16:BB23,"OY")+COUNTIF(BB16:BB23,"M")+COUNTIF(BB16:BB23,"V")+COUNTIF(BB16:BB23,"P"))/8)&lt;=1)</formula>
    </cfRule>
  </conditionalFormatting>
  <conditionalFormatting sqref="BH10:BK13">
    <cfRule type="expression" dxfId="877" priority="1341" stopIfTrue="1">
      <formula>AND(BH$7&lt;&gt;"",VLOOKUP(BH$8,$NX$25:$NY$32,2,0)&lt;&gt;"Yes")</formula>
    </cfRule>
    <cfRule type="expression" dxfId="876" priority="1342" stopIfTrue="1">
      <formula>ISNUMBER(MATCH(DATE($B$4,$B$3+$B$5-1,BH$7),HolidayListNamedRange,0))</formula>
    </cfRule>
  </conditionalFormatting>
  <conditionalFormatting sqref="BH14:BK14">
    <cfRule type="expression" dxfId="875" priority="1339" stopIfTrue="1">
      <formula>AND(BH$7&lt;&gt;"",VLOOKUP(BH$8,$NX$23:$NY$30,2,0)&lt;&gt;"Yes")</formula>
    </cfRule>
    <cfRule type="expression" dxfId="874" priority="1340" stopIfTrue="1">
      <formula>ISNUMBER(MATCH(DATE($B$4,$B$3+$B$5-1,BH$7),HolidayListNamedRange,0))</formula>
    </cfRule>
  </conditionalFormatting>
  <conditionalFormatting sqref="BH14:BK14">
    <cfRule type="expression" dxfId="873" priority="1336">
      <formula>AND(((COUNTIF(BH12:BH13,"O")+COUNTIF(BH12:BH13,"L")+COUNTIF(BH12:BH13,"H1")+COUNTIF(BH12:BH13,"H2")+COUNTIF(BH12:BH13,"OY")+COUNTIF(BH12:BH13,"M")+COUNTIF(BH12:BH13,"V")+COUNTIF(BH12:BH13,"P"))/2)&gt;=0,((COUNTIF(BH12:BH13,"O")+COUNTIF(BH12:BH13,"L")+COUNTIF(BH12:BH13,"H1")+COUNTIF(BH12:BH13,"H2")+COUNTIF(BH12:BH13,"OY")+COUNTIF(BH12:BH13,"M")+COUNTIF(BH12:BH13,"V")+COUNTIF(BH12:BH13,"P"))/2)&lt;=0.2)</formula>
    </cfRule>
    <cfRule type="expression" dxfId="872" priority="1337">
      <formula>AND(((COUNTIF(BH12:BH13,"O")+COUNTIF(BH12:BH13,"L")+COUNTIF(BH12:BH13,"H1")+COUNTIF(BH12:BH13,"H2")+COUNTIF(BH12:BH13,"OY")+COUNTIF(BH12:BH13,"M")+COUNTIF(BH12:BH13,"V")+COUNTIF(BH12:BH13,"P"))/2)&gt;0.2,((COUNTIF(BH12:BH13,"O")+COUNTIF(BH12:BH13,"L")+COUNTIF(BH12:BH13,"H1")+COUNTIF(BH12:BH13,"H2")+COUNTIF(BH12:BH13,"OY")+COUNTIF(BH12:BH13,"M")+COUNTIF(BH12:BH13,"V")+COUNTIF(BH12:BH13,"P"))/2)&lt;=0.4)</formula>
    </cfRule>
    <cfRule type="expression" dxfId="871" priority="1338">
      <formula>AND(((COUNTIF(BH12:BH13,"O")+COUNTIF(BH12:BH13,"L")+COUNTIF(BH12:BH13,"H1")+COUNTIF(BH12:BH13,"H2")+COUNTIF(BH12:BH13,"OY")+COUNTIF(BH12:BH13,"M")+COUNTIF(BH12:BH13,"V")+COUNTIF(BH12:BH13,"P"))/2)&gt;=0.4,((COUNTIF(BH12:BH13,"O")+COUNTIF(BH12:BH13,"L")+COUNTIF(BH12:BH13,"H1")+COUNTIF(BH12:BH13,"H2")+COUNTIF(BH12:BH13,"OY")+COUNTIF(BH12:BH13,"M")+COUNTIF(BH12:BH13,"V")+COUNTIF(BH12:BH13,"P"))/2)&lt;=1)</formula>
    </cfRule>
  </conditionalFormatting>
  <conditionalFormatting sqref="BH24:BK24">
    <cfRule type="expression" dxfId="870" priority="1334" stopIfTrue="1">
      <formula>AND(BH$7&lt;&gt;"",VLOOKUP(BH$8,$NX$23:$NY$30,2,0)&lt;&gt;"Yes")</formula>
    </cfRule>
    <cfRule type="expression" dxfId="869" priority="1335" stopIfTrue="1">
      <formula>ISNUMBER(MATCH(DATE($B$4,$B$3+$B$5-1,BH$7),HolidayListNamedRange,0))</formula>
    </cfRule>
  </conditionalFormatting>
  <conditionalFormatting sqref="BH24:BK24">
    <cfRule type="expression" dxfId="868" priority="1331">
      <formula>AND(((COUNTIF(BH16:BH23,"O")+COUNTIF(BH16:BH23,"L")+COUNTIF(BH16:BH23,"H1")+COUNTIF(BH16:BH23,"H2")+COUNTIF(BH16:BH23,"OY")+COUNTIF(BH16:BH23,"M")+COUNTIF(BH16:BH23,"V")+COUNTIF(BH16:BH23,"P"))/8)&gt;=0,((COUNTIF(BH16:BH23,"O")+COUNTIF(BH16:BH23,"L")+COUNTIF(BH16:BH23,"H1")+COUNTIF(BH16:BH23,"H2")+COUNTIF(BH16:BH23,"OY")+COUNTIF(BH16:BH23,"M")+COUNTIF(BH16:BH23,"V")+COUNTIF(BH16:BH23,"P"))/8)&lt;=0.2)</formula>
    </cfRule>
    <cfRule type="expression" dxfId="867" priority="1332">
      <formula>AND(((COUNTIF(BH16:BH23,"O")+COUNTIF(BH16:BH23,"L")+COUNTIF(BH16:BH23,"H1")+COUNTIF(BH16:BH23,"H2")+COUNTIF(BH16:BH23,"OY")+COUNTIF(BH16:BH23,"M")+COUNTIF(BH16:BH23,"V")+COUNTIF(BH16:BH23,"P"))/8)&gt;0.2,((COUNTIF(BH16:BH23,"O")+COUNTIF(BH16:BH23,"L")+COUNTIF(BH16:BH23,"H1")+COUNTIF(BH16:BH23,"H2")+COUNTIF(BH16:BH23,"OY")+COUNTIF(BH16:BH23,"M")+COUNTIF(BH16:BH23,"V")+COUNTIF(BH16:BH23,"P"))/8)&lt;=0.4)</formula>
    </cfRule>
    <cfRule type="expression" dxfId="866" priority="1333">
      <formula>AND(((COUNTIF(BH16:BH23,"O")+COUNTIF(BH16:BH23,"L")+COUNTIF(BH16:BH23,"H1")+COUNTIF(BH16:BH23,"H2")+COUNTIF(BH16:BH23,"OY")+COUNTIF(BH16:BH23,"M")+COUNTIF(BH16:BH23,"V")+COUNTIF(BH16:BH23,"P"))/8)&gt;=0.4,((COUNTIF(BH16:BH23,"O")+COUNTIF(BH16:BH23,"L")+COUNTIF(BH16:BH23,"H1")+COUNTIF(BH16:BH23,"H2")+COUNTIF(BH16:BH23,"OY")+COUNTIF(BH16:BH23,"M")+COUNTIF(BH16:BH23,"V")+COUNTIF(BH16:BH23,"P"))/8)&lt;=1)</formula>
    </cfRule>
  </conditionalFormatting>
  <conditionalFormatting sqref="BL10:BO13">
    <cfRule type="expression" dxfId="865" priority="1319" stopIfTrue="1">
      <formula>AND(BL$7&lt;&gt;"",VLOOKUP(BL$8,$NX$25:$NY$32,2,0)&lt;&gt;"Yes")</formula>
    </cfRule>
    <cfRule type="expression" dxfId="864" priority="1320" stopIfTrue="1">
      <formula>ISNUMBER(MATCH(DATE($B$4,$B$3+$B$5-1,BL$7),HolidayListNamedRange,0))</formula>
    </cfRule>
  </conditionalFormatting>
  <conditionalFormatting sqref="BL14:BO14">
    <cfRule type="expression" dxfId="863" priority="1317" stopIfTrue="1">
      <formula>AND(BL$7&lt;&gt;"",VLOOKUP(BL$8,$NX$23:$NY$30,2,0)&lt;&gt;"Yes")</formula>
    </cfRule>
    <cfRule type="expression" dxfId="862" priority="1318" stopIfTrue="1">
      <formula>ISNUMBER(MATCH(DATE($B$4,$B$3+$B$5-1,BL$7),HolidayListNamedRange,0))</formula>
    </cfRule>
  </conditionalFormatting>
  <conditionalFormatting sqref="BL14:BO14">
    <cfRule type="expression" dxfId="861" priority="1314">
      <formula>AND(((COUNTIF(BL12:BL13,"O")+COUNTIF(BL12:BL13,"L")+COUNTIF(BL12:BL13,"H1")+COUNTIF(BL12:BL13,"H2")+COUNTIF(BL12:BL13,"OY")+COUNTIF(BL12:BL13,"M")+COUNTIF(BL12:BL13,"V")+COUNTIF(BL12:BL13,"P"))/2)&gt;=0,((COUNTIF(BL12:BL13,"O")+COUNTIF(BL12:BL13,"L")+COUNTIF(BL12:BL13,"H1")+COUNTIF(BL12:BL13,"H2")+COUNTIF(BL12:BL13,"OY")+COUNTIF(BL12:BL13,"M")+COUNTIF(BL12:BL13,"V")+COUNTIF(BL12:BL13,"P"))/2)&lt;=0.2)</formula>
    </cfRule>
    <cfRule type="expression" dxfId="860" priority="1315">
      <formula>AND(((COUNTIF(BL12:BL13,"O")+COUNTIF(BL12:BL13,"L")+COUNTIF(BL12:BL13,"H1")+COUNTIF(BL12:BL13,"H2")+COUNTIF(BL12:BL13,"OY")+COUNTIF(BL12:BL13,"M")+COUNTIF(BL12:BL13,"V")+COUNTIF(BL12:BL13,"P"))/2)&gt;0.2,((COUNTIF(BL12:BL13,"O")+COUNTIF(BL12:BL13,"L")+COUNTIF(BL12:BL13,"H1")+COUNTIF(BL12:BL13,"H2")+COUNTIF(BL12:BL13,"OY")+COUNTIF(BL12:BL13,"M")+COUNTIF(BL12:BL13,"V")+COUNTIF(BL12:BL13,"P"))/2)&lt;=0.4)</formula>
    </cfRule>
    <cfRule type="expression" dxfId="859" priority="1316">
      <formula>AND(((COUNTIF(BL12:BL13,"O")+COUNTIF(BL12:BL13,"L")+COUNTIF(BL12:BL13,"H1")+COUNTIF(BL12:BL13,"H2")+COUNTIF(BL12:BL13,"OY")+COUNTIF(BL12:BL13,"M")+COUNTIF(BL12:BL13,"V")+COUNTIF(BL12:BL13,"P"))/2)&gt;=0.4,((COUNTIF(BL12:BL13,"O")+COUNTIF(BL12:BL13,"L")+COUNTIF(BL12:BL13,"H1")+COUNTIF(BL12:BL13,"H2")+COUNTIF(BL12:BL13,"OY")+COUNTIF(BL12:BL13,"M")+COUNTIF(BL12:BL13,"V")+COUNTIF(BL12:BL13,"P"))/2)&lt;=1)</formula>
    </cfRule>
  </conditionalFormatting>
  <conditionalFormatting sqref="BL24:BO24">
    <cfRule type="expression" dxfId="858" priority="1312" stopIfTrue="1">
      <formula>AND(BL$7&lt;&gt;"",VLOOKUP(BL$8,$NX$23:$NY$30,2,0)&lt;&gt;"Yes")</formula>
    </cfRule>
    <cfRule type="expression" dxfId="857" priority="1313" stopIfTrue="1">
      <formula>ISNUMBER(MATCH(DATE($B$4,$B$3+$B$5-1,BL$7),HolidayListNamedRange,0))</formula>
    </cfRule>
  </conditionalFormatting>
  <conditionalFormatting sqref="BL24:BO24">
    <cfRule type="expression" dxfId="856" priority="1309">
      <formula>AND(((COUNTIF(BL16:BL23,"O")+COUNTIF(BL16:BL23,"L")+COUNTIF(BL16:BL23,"H1")+COUNTIF(BL16:BL23,"H2")+COUNTIF(BL16:BL23,"OY")+COUNTIF(BL16:BL23,"M")+COUNTIF(BL16:BL23,"V")+COUNTIF(BL16:BL23,"P"))/8)&gt;=0,((COUNTIF(BL16:BL23,"O")+COUNTIF(BL16:BL23,"L")+COUNTIF(BL16:BL23,"H1")+COUNTIF(BL16:BL23,"H2")+COUNTIF(BL16:BL23,"OY")+COUNTIF(BL16:BL23,"M")+COUNTIF(BL16:BL23,"V")+COUNTIF(BL16:BL23,"P"))/8)&lt;=0.2)</formula>
    </cfRule>
    <cfRule type="expression" dxfId="855" priority="1310">
      <formula>AND(((COUNTIF(BL16:BL23,"O")+COUNTIF(BL16:BL23,"L")+COUNTIF(BL16:BL23,"H1")+COUNTIF(BL16:BL23,"H2")+COUNTIF(BL16:BL23,"OY")+COUNTIF(BL16:BL23,"M")+COUNTIF(BL16:BL23,"V")+COUNTIF(BL16:BL23,"P"))/8)&gt;0.2,((COUNTIF(BL16:BL23,"O")+COUNTIF(BL16:BL23,"L")+COUNTIF(BL16:BL23,"H1")+COUNTIF(BL16:BL23,"H2")+COUNTIF(BL16:BL23,"OY")+COUNTIF(BL16:BL23,"M")+COUNTIF(BL16:BL23,"V")+COUNTIF(BL16:BL23,"P"))/8)&lt;=0.4)</formula>
    </cfRule>
    <cfRule type="expression" dxfId="854" priority="1311">
      <formula>AND(((COUNTIF(BL16:BL23,"O")+COUNTIF(BL16:BL23,"L")+COUNTIF(BL16:BL23,"H1")+COUNTIF(BL16:BL23,"H2")+COUNTIF(BL16:BL23,"OY")+COUNTIF(BL16:BL23,"M")+COUNTIF(BL16:BL23,"V")+COUNTIF(BL16:BL23,"P"))/8)&gt;=0.4,((COUNTIF(BL16:BL23,"O")+COUNTIF(BL16:BL23,"L")+COUNTIF(BL16:BL23,"H1")+COUNTIF(BL16:BL23,"H2")+COUNTIF(BL16:BL23,"OY")+COUNTIF(BL16:BL23,"M")+COUNTIF(BL16:BL23,"V")+COUNTIF(BL16:BL23,"P"))/8)&lt;=1)</formula>
    </cfRule>
  </conditionalFormatting>
  <conditionalFormatting sqref="BR10:BV13">
    <cfRule type="expression" dxfId="853" priority="1297" stopIfTrue="1">
      <formula>AND(BR$7&lt;&gt;"",VLOOKUP(BR$8,$NX$25:$NY$32,2,0)&lt;&gt;"Yes")</formula>
    </cfRule>
    <cfRule type="expression" dxfId="852" priority="1298" stopIfTrue="1">
      <formula>ISNUMBER(MATCH(DATE($B$4,$B$3+$B$5-1,BR$7),HolidayListNamedRange,0))</formula>
    </cfRule>
  </conditionalFormatting>
  <conditionalFormatting sqref="BR14:BV14">
    <cfRule type="expression" dxfId="851" priority="1295" stopIfTrue="1">
      <formula>AND(BR$7&lt;&gt;"",VLOOKUP(BR$8,$NX$23:$NY$30,2,0)&lt;&gt;"Yes")</formula>
    </cfRule>
    <cfRule type="expression" dxfId="850" priority="1296" stopIfTrue="1">
      <formula>ISNUMBER(MATCH(DATE($B$4,$B$3+$B$5-1,BR$7),HolidayListNamedRange,0))</formula>
    </cfRule>
  </conditionalFormatting>
  <conditionalFormatting sqref="BR14:BV14">
    <cfRule type="expression" dxfId="849" priority="1292">
      <formula>AND(((COUNTIF(BR12:BR13,"O")+COUNTIF(BR12:BR13,"L")+COUNTIF(BR12:BR13,"H1")+COUNTIF(BR12:BR13,"H2")+COUNTIF(BR12:BR13,"OY")+COUNTIF(BR12:BR13,"M")+COUNTIF(BR12:BR13,"V")+COUNTIF(BR12:BR13,"P"))/2)&gt;=0,((COUNTIF(BR12:BR13,"O")+COUNTIF(BR12:BR13,"L")+COUNTIF(BR12:BR13,"H1")+COUNTIF(BR12:BR13,"H2")+COUNTIF(BR12:BR13,"OY")+COUNTIF(BR12:BR13,"M")+COUNTIF(BR12:BR13,"V")+COUNTIF(BR12:BR13,"P"))/2)&lt;=0.2)</formula>
    </cfRule>
    <cfRule type="expression" dxfId="848" priority="1293">
      <formula>AND(((COUNTIF(BR12:BR13,"O")+COUNTIF(BR12:BR13,"L")+COUNTIF(BR12:BR13,"H1")+COUNTIF(BR12:BR13,"H2")+COUNTIF(BR12:BR13,"OY")+COUNTIF(BR12:BR13,"M")+COUNTIF(BR12:BR13,"V")+COUNTIF(BR12:BR13,"P"))/2)&gt;0.2,((COUNTIF(BR12:BR13,"O")+COUNTIF(BR12:BR13,"L")+COUNTIF(BR12:BR13,"H1")+COUNTIF(BR12:BR13,"H2")+COUNTIF(BR12:BR13,"OY")+COUNTIF(BR12:BR13,"M")+COUNTIF(BR12:BR13,"V")+COUNTIF(BR12:BR13,"P"))/2)&lt;=0.4)</formula>
    </cfRule>
    <cfRule type="expression" dxfId="847" priority="1294">
      <formula>AND(((COUNTIF(BR12:BR13,"O")+COUNTIF(BR12:BR13,"L")+COUNTIF(BR12:BR13,"H1")+COUNTIF(BR12:BR13,"H2")+COUNTIF(BR12:BR13,"OY")+COUNTIF(BR12:BR13,"M")+COUNTIF(BR12:BR13,"V")+COUNTIF(BR12:BR13,"P"))/2)&gt;=0.4,((COUNTIF(BR12:BR13,"O")+COUNTIF(BR12:BR13,"L")+COUNTIF(BR12:BR13,"H1")+COUNTIF(BR12:BR13,"H2")+COUNTIF(BR12:BR13,"OY")+COUNTIF(BR12:BR13,"M")+COUNTIF(BR12:BR13,"V")+COUNTIF(BR12:BR13,"P"))/2)&lt;=1)</formula>
    </cfRule>
  </conditionalFormatting>
  <conditionalFormatting sqref="BR24:BV24">
    <cfRule type="expression" dxfId="846" priority="1290" stopIfTrue="1">
      <formula>AND(BR$7&lt;&gt;"",VLOOKUP(BR$8,$NX$23:$NY$30,2,0)&lt;&gt;"Yes")</formula>
    </cfRule>
    <cfRule type="expression" dxfId="845" priority="1291" stopIfTrue="1">
      <formula>ISNUMBER(MATCH(DATE($B$4,$B$3+$B$5-1,BR$7),HolidayListNamedRange,0))</formula>
    </cfRule>
  </conditionalFormatting>
  <conditionalFormatting sqref="BR24:BV24">
    <cfRule type="expression" dxfId="844" priority="1287">
      <formula>AND(((COUNTIF(BR16:BR23,"O")+COUNTIF(BR16:BR23,"L")+COUNTIF(BR16:BR23,"H1")+COUNTIF(BR16:BR23,"H2")+COUNTIF(BR16:BR23,"OY")+COUNTIF(BR16:BR23,"M")+COUNTIF(BR16:BR23,"V")+COUNTIF(BR16:BR23,"P"))/8)&gt;=0,((COUNTIF(BR16:BR23,"O")+COUNTIF(BR16:BR23,"L")+COUNTIF(BR16:BR23,"H1")+COUNTIF(BR16:BR23,"H2")+COUNTIF(BR16:BR23,"OY")+COUNTIF(BR16:BR23,"M")+COUNTIF(BR16:BR23,"V")+COUNTIF(BR16:BR23,"P"))/8)&lt;=0.2)</formula>
    </cfRule>
    <cfRule type="expression" dxfId="843" priority="1288">
      <formula>AND(((COUNTIF(BR16:BR23,"O")+COUNTIF(BR16:BR23,"L")+COUNTIF(BR16:BR23,"H1")+COUNTIF(BR16:BR23,"H2")+COUNTIF(BR16:BR23,"OY")+COUNTIF(BR16:BR23,"M")+COUNTIF(BR16:BR23,"V")+COUNTIF(BR16:BR23,"P"))/8)&gt;0.2,((COUNTIF(BR16:BR23,"O")+COUNTIF(BR16:BR23,"L")+COUNTIF(BR16:BR23,"H1")+COUNTIF(BR16:BR23,"H2")+COUNTIF(BR16:BR23,"OY")+COUNTIF(BR16:BR23,"M")+COUNTIF(BR16:BR23,"V")+COUNTIF(BR16:BR23,"P"))/8)&lt;=0.4)</formula>
    </cfRule>
    <cfRule type="expression" dxfId="842" priority="1289">
      <formula>AND(((COUNTIF(BR16:BR23,"O")+COUNTIF(BR16:BR23,"L")+COUNTIF(BR16:BR23,"H1")+COUNTIF(BR16:BR23,"H2")+COUNTIF(BR16:BR23,"OY")+COUNTIF(BR16:BR23,"M")+COUNTIF(BR16:BR23,"V")+COUNTIF(BR16:BR23,"P"))/8)&gt;=0.4,((COUNTIF(BR16:BR23,"O")+COUNTIF(BR16:BR23,"L")+COUNTIF(BR16:BR23,"H1")+COUNTIF(BR16:BR23,"H2")+COUNTIF(BR16:BR23,"OY")+COUNTIF(BR16:BR23,"M")+COUNTIF(BR16:BR23,"V")+COUNTIF(BR16:BR23,"P"))/8)&lt;=1)</formula>
    </cfRule>
  </conditionalFormatting>
  <conditionalFormatting sqref="BY10:CC13">
    <cfRule type="expression" dxfId="841" priority="1275" stopIfTrue="1">
      <formula>AND(BY$7&lt;&gt;"",VLOOKUP(BY$8,$NX$25:$NY$32,2,0)&lt;&gt;"Yes")</formula>
    </cfRule>
    <cfRule type="expression" dxfId="840" priority="1276" stopIfTrue="1">
      <formula>ISNUMBER(MATCH(DATE($B$4,$B$3+$B$5-1,BY$7),HolidayListNamedRange,0))</formula>
    </cfRule>
  </conditionalFormatting>
  <conditionalFormatting sqref="BY14:CC14">
    <cfRule type="expression" dxfId="839" priority="1273" stopIfTrue="1">
      <formula>AND(BY$7&lt;&gt;"",VLOOKUP(BY$8,$NX$23:$NY$30,2,0)&lt;&gt;"Yes")</formula>
    </cfRule>
    <cfRule type="expression" dxfId="838" priority="1274" stopIfTrue="1">
      <formula>ISNUMBER(MATCH(DATE($B$4,$B$3+$B$5-1,BY$7),HolidayListNamedRange,0))</formula>
    </cfRule>
  </conditionalFormatting>
  <conditionalFormatting sqref="BY14:CC14">
    <cfRule type="expression" dxfId="837" priority="1270">
      <formula>AND(((COUNTIF(BY12:BY13,"O")+COUNTIF(BY12:BY13,"L")+COUNTIF(BY12:BY13,"H1")+COUNTIF(BY12:BY13,"H2")+COUNTIF(BY12:BY13,"OY")+COUNTIF(BY12:BY13,"M")+COUNTIF(BY12:BY13,"V")+COUNTIF(BY12:BY13,"P"))/2)&gt;=0,((COUNTIF(BY12:BY13,"O")+COUNTIF(BY12:BY13,"L")+COUNTIF(BY12:BY13,"H1")+COUNTIF(BY12:BY13,"H2")+COUNTIF(BY12:BY13,"OY")+COUNTIF(BY12:BY13,"M")+COUNTIF(BY12:BY13,"V")+COUNTIF(BY12:BY13,"P"))/2)&lt;=0.2)</formula>
    </cfRule>
    <cfRule type="expression" dxfId="836" priority="1271">
      <formula>AND(((COUNTIF(BY12:BY13,"O")+COUNTIF(BY12:BY13,"L")+COUNTIF(BY12:BY13,"H1")+COUNTIF(BY12:BY13,"H2")+COUNTIF(BY12:BY13,"OY")+COUNTIF(BY12:BY13,"M")+COUNTIF(BY12:BY13,"V")+COUNTIF(BY12:BY13,"P"))/2)&gt;0.2,((COUNTIF(BY12:BY13,"O")+COUNTIF(BY12:BY13,"L")+COUNTIF(BY12:BY13,"H1")+COUNTIF(BY12:BY13,"H2")+COUNTIF(BY12:BY13,"OY")+COUNTIF(BY12:BY13,"M")+COUNTIF(BY12:BY13,"V")+COUNTIF(BY12:BY13,"P"))/2)&lt;=0.4)</formula>
    </cfRule>
    <cfRule type="expression" dxfId="835" priority="1272">
      <formula>AND(((COUNTIF(BY12:BY13,"O")+COUNTIF(BY12:BY13,"L")+COUNTIF(BY12:BY13,"H1")+COUNTIF(BY12:BY13,"H2")+COUNTIF(BY12:BY13,"OY")+COUNTIF(BY12:BY13,"M")+COUNTIF(BY12:BY13,"V")+COUNTIF(BY12:BY13,"P"))/2)&gt;=0.4,((COUNTIF(BY12:BY13,"O")+COUNTIF(BY12:BY13,"L")+COUNTIF(BY12:BY13,"H1")+COUNTIF(BY12:BY13,"H2")+COUNTIF(BY12:BY13,"OY")+COUNTIF(BY12:BY13,"M")+COUNTIF(BY12:BY13,"V")+COUNTIF(BY12:BY13,"P"))/2)&lt;=1)</formula>
    </cfRule>
  </conditionalFormatting>
  <conditionalFormatting sqref="BY24:CC24">
    <cfRule type="expression" dxfId="834" priority="1268" stopIfTrue="1">
      <formula>AND(BY$7&lt;&gt;"",VLOOKUP(BY$8,$NX$23:$NY$30,2,0)&lt;&gt;"Yes")</formula>
    </cfRule>
    <cfRule type="expression" dxfId="833" priority="1269" stopIfTrue="1">
      <formula>ISNUMBER(MATCH(DATE($B$4,$B$3+$B$5-1,BY$7),HolidayListNamedRange,0))</formula>
    </cfRule>
  </conditionalFormatting>
  <conditionalFormatting sqref="BY24:CC24">
    <cfRule type="expression" dxfId="832" priority="1265">
      <formula>AND(((COUNTIF(BY16:BY23,"O")+COUNTIF(BY16:BY23,"L")+COUNTIF(BY16:BY23,"H1")+COUNTIF(BY16:BY23,"H2")+COUNTIF(BY16:BY23,"OY")+COUNTIF(BY16:BY23,"M")+COUNTIF(BY16:BY23,"V")+COUNTIF(BY16:BY23,"P"))/8)&gt;=0,((COUNTIF(BY16:BY23,"O")+COUNTIF(BY16:BY23,"L")+COUNTIF(BY16:BY23,"H1")+COUNTIF(BY16:BY23,"H2")+COUNTIF(BY16:BY23,"OY")+COUNTIF(BY16:BY23,"M")+COUNTIF(BY16:BY23,"V")+COUNTIF(BY16:BY23,"P"))/8)&lt;=0.2)</formula>
    </cfRule>
    <cfRule type="expression" dxfId="831" priority="1266">
      <formula>AND(((COUNTIF(BY16:BY23,"O")+COUNTIF(BY16:BY23,"L")+COUNTIF(BY16:BY23,"H1")+COUNTIF(BY16:BY23,"H2")+COUNTIF(BY16:BY23,"OY")+COUNTIF(BY16:BY23,"M")+COUNTIF(BY16:BY23,"V")+COUNTIF(BY16:BY23,"P"))/8)&gt;0.2,((COUNTIF(BY16:BY23,"O")+COUNTIF(BY16:BY23,"L")+COUNTIF(BY16:BY23,"H1")+COUNTIF(BY16:BY23,"H2")+COUNTIF(BY16:BY23,"OY")+COUNTIF(BY16:BY23,"M")+COUNTIF(BY16:BY23,"V")+COUNTIF(BY16:BY23,"P"))/8)&lt;=0.4)</formula>
    </cfRule>
    <cfRule type="expression" dxfId="830" priority="1267">
      <formula>AND(((COUNTIF(BY16:BY23,"O")+COUNTIF(BY16:BY23,"L")+COUNTIF(BY16:BY23,"H1")+COUNTIF(BY16:BY23,"H2")+COUNTIF(BY16:BY23,"OY")+COUNTIF(BY16:BY23,"M")+COUNTIF(BY16:BY23,"V")+COUNTIF(BY16:BY23,"P"))/8)&gt;=0.4,((COUNTIF(BY16:BY23,"O")+COUNTIF(BY16:BY23,"L")+COUNTIF(BY16:BY23,"H1")+COUNTIF(BY16:BY23,"H2")+COUNTIF(BY16:BY23,"OY")+COUNTIF(BY16:BY23,"M")+COUNTIF(BY16:BY23,"V")+COUNTIF(BY16:BY23,"P"))/8)&lt;=1)</formula>
    </cfRule>
  </conditionalFormatting>
  <conditionalFormatting sqref="CF10:CJ13">
    <cfRule type="expression" dxfId="829" priority="1253" stopIfTrue="1">
      <formula>AND(CF$7&lt;&gt;"",VLOOKUP(CF$8,$NX$25:$NY$32,2,0)&lt;&gt;"Yes")</formula>
    </cfRule>
    <cfRule type="expression" dxfId="828" priority="1254" stopIfTrue="1">
      <formula>ISNUMBER(MATCH(DATE($B$4,$B$3+$B$5-1,CF$7),HolidayListNamedRange,0))</formula>
    </cfRule>
  </conditionalFormatting>
  <conditionalFormatting sqref="CF14:CJ14">
    <cfRule type="expression" dxfId="827" priority="1251" stopIfTrue="1">
      <formula>AND(CF$7&lt;&gt;"",VLOOKUP(CF$8,$NX$23:$NY$30,2,0)&lt;&gt;"Yes")</formula>
    </cfRule>
    <cfRule type="expression" dxfId="826" priority="1252" stopIfTrue="1">
      <formula>ISNUMBER(MATCH(DATE($B$4,$B$3+$B$5-1,CF$7),HolidayListNamedRange,0))</formula>
    </cfRule>
  </conditionalFormatting>
  <conditionalFormatting sqref="CF14:CJ14">
    <cfRule type="expression" dxfId="825" priority="1248">
      <formula>AND(((COUNTIF(CF12:CF13,"O")+COUNTIF(CF12:CF13,"L")+COUNTIF(CF12:CF13,"H1")+COUNTIF(CF12:CF13,"H2")+COUNTIF(CF12:CF13,"OY")+COUNTIF(CF12:CF13,"M")+COUNTIF(CF12:CF13,"V")+COUNTIF(CF12:CF13,"P"))/2)&gt;=0,((COUNTIF(CF12:CF13,"O")+COUNTIF(CF12:CF13,"L")+COUNTIF(CF12:CF13,"H1")+COUNTIF(CF12:CF13,"H2")+COUNTIF(CF12:CF13,"OY")+COUNTIF(CF12:CF13,"M")+COUNTIF(CF12:CF13,"V")+COUNTIF(CF12:CF13,"P"))/2)&lt;=0.2)</formula>
    </cfRule>
    <cfRule type="expression" dxfId="824" priority="1249">
      <formula>AND(((COUNTIF(CF12:CF13,"O")+COUNTIF(CF12:CF13,"L")+COUNTIF(CF12:CF13,"H1")+COUNTIF(CF12:CF13,"H2")+COUNTIF(CF12:CF13,"OY")+COUNTIF(CF12:CF13,"M")+COUNTIF(CF12:CF13,"V")+COUNTIF(CF12:CF13,"P"))/2)&gt;0.2,((COUNTIF(CF12:CF13,"O")+COUNTIF(CF12:CF13,"L")+COUNTIF(CF12:CF13,"H1")+COUNTIF(CF12:CF13,"H2")+COUNTIF(CF12:CF13,"OY")+COUNTIF(CF12:CF13,"M")+COUNTIF(CF12:CF13,"V")+COUNTIF(CF12:CF13,"P"))/2)&lt;=0.4)</formula>
    </cfRule>
    <cfRule type="expression" dxfId="823" priority="1250">
      <formula>AND(((COUNTIF(CF12:CF13,"O")+COUNTIF(CF12:CF13,"L")+COUNTIF(CF12:CF13,"H1")+COUNTIF(CF12:CF13,"H2")+COUNTIF(CF12:CF13,"OY")+COUNTIF(CF12:CF13,"M")+COUNTIF(CF12:CF13,"V")+COUNTIF(CF12:CF13,"P"))/2)&gt;=0.4,((COUNTIF(CF12:CF13,"O")+COUNTIF(CF12:CF13,"L")+COUNTIF(CF12:CF13,"H1")+COUNTIF(CF12:CF13,"H2")+COUNTIF(CF12:CF13,"OY")+COUNTIF(CF12:CF13,"M")+COUNTIF(CF12:CF13,"V")+COUNTIF(CF12:CF13,"P"))/2)&lt;=1)</formula>
    </cfRule>
  </conditionalFormatting>
  <conditionalFormatting sqref="CF24:CJ24">
    <cfRule type="expression" dxfId="822" priority="1246" stopIfTrue="1">
      <formula>AND(CF$7&lt;&gt;"",VLOOKUP(CF$8,$NX$23:$NY$30,2,0)&lt;&gt;"Yes")</formula>
    </cfRule>
    <cfRule type="expression" dxfId="821" priority="1247" stopIfTrue="1">
      <formula>ISNUMBER(MATCH(DATE($B$4,$B$3+$B$5-1,CF$7),HolidayListNamedRange,0))</formula>
    </cfRule>
  </conditionalFormatting>
  <conditionalFormatting sqref="CF24:CJ24">
    <cfRule type="expression" dxfId="820" priority="1243">
      <formula>AND(((COUNTIF(CF16:CF23,"O")+COUNTIF(CF16:CF23,"L")+COUNTIF(CF16:CF23,"H1")+COUNTIF(CF16:CF23,"H2")+COUNTIF(CF16:CF23,"OY")+COUNTIF(CF16:CF23,"M")+COUNTIF(CF16:CF23,"V")+COUNTIF(CF16:CF23,"P"))/8)&gt;=0,((COUNTIF(CF16:CF23,"O")+COUNTIF(CF16:CF23,"L")+COUNTIF(CF16:CF23,"H1")+COUNTIF(CF16:CF23,"H2")+COUNTIF(CF16:CF23,"OY")+COUNTIF(CF16:CF23,"M")+COUNTIF(CF16:CF23,"V")+COUNTIF(CF16:CF23,"P"))/8)&lt;=0.2)</formula>
    </cfRule>
    <cfRule type="expression" dxfId="819" priority="1244">
      <formula>AND(((COUNTIF(CF16:CF23,"O")+COUNTIF(CF16:CF23,"L")+COUNTIF(CF16:CF23,"H1")+COUNTIF(CF16:CF23,"H2")+COUNTIF(CF16:CF23,"OY")+COUNTIF(CF16:CF23,"M")+COUNTIF(CF16:CF23,"V")+COUNTIF(CF16:CF23,"P"))/8)&gt;0.2,((COUNTIF(CF16:CF23,"O")+COUNTIF(CF16:CF23,"L")+COUNTIF(CF16:CF23,"H1")+COUNTIF(CF16:CF23,"H2")+COUNTIF(CF16:CF23,"OY")+COUNTIF(CF16:CF23,"M")+COUNTIF(CF16:CF23,"V")+COUNTIF(CF16:CF23,"P"))/8)&lt;=0.4)</formula>
    </cfRule>
    <cfRule type="expression" dxfId="818" priority="1245">
      <formula>AND(((COUNTIF(CF16:CF23,"O")+COUNTIF(CF16:CF23,"L")+COUNTIF(CF16:CF23,"H1")+COUNTIF(CF16:CF23,"H2")+COUNTIF(CF16:CF23,"OY")+COUNTIF(CF16:CF23,"M")+COUNTIF(CF16:CF23,"V")+COUNTIF(CF16:CF23,"P"))/8)&gt;=0.4,((COUNTIF(CF16:CF23,"O")+COUNTIF(CF16:CF23,"L")+COUNTIF(CF16:CF23,"H1")+COUNTIF(CF16:CF23,"H2")+COUNTIF(CF16:CF23,"OY")+COUNTIF(CF16:CF23,"M")+COUNTIF(CF16:CF23,"V")+COUNTIF(CF16:CF23,"P"))/8)&lt;=1)</formula>
    </cfRule>
  </conditionalFormatting>
  <conditionalFormatting sqref="CM10:CP13">
    <cfRule type="expression" dxfId="817" priority="1231" stopIfTrue="1">
      <formula>AND(CM$7&lt;&gt;"",VLOOKUP(CM$8,$NX$25:$NY$32,2,0)&lt;&gt;"Yes")</formula>
    </cfRule>
    <cfRule type="expression" dxfId="816" priority="1232" stopIfTrue="1">
      <formula>ISNUMBER(MATCH(DATE($B$4,$B$3+$B$5-1,CM$7),HolidayListNamedRange,0))</formula>
    </cfRule>
  </conditionalFormatting>
  <conditionalFormatting sqref="CM14:CP14">
    <cfRule type="expression" dxfId="815" priority="1229" stopIfTrue="1">
      <formula>AND(CM$7&lt;&gt;"",VLOOKUP(CM$8,$NX$23:$NY$30,2,0)&lt;&gt;"Yes")</formula>
    </cfRule>
    <cfRule type="expression" dxfId="814" priority="1230" stopIfTrue="1">
      <formula>ISNUMBER(MATCH(DATE($B$4,$B$3+$B$5-1,CM$7),HolidayListNamedRange,0))</formula>
    </cfRule>
  </conditionalFormatting>
  <conditionalFormatting sqref="CM14:CP14">
    <cfRule type="expression" dxfId="813" priority="1226">
      <formula>AND(((COUNTIF(CM12:CM13,"O")+COUNTIF(CM12:CM13,"L")+COUNTIF(CM12:CM13,"H1")+COUNTIF(CM12:CM13,"H2")+COUNTIF(CM12:CM13,"OY")+COUNTIF(CM12:CM13,"M")+COUNTIF(CM12:CM13,"V")+COUNTIF(CM12:CM13,"P"))/2)&gt;=0,((COUNTIF(CM12:CM13,"O")+COUNTIF(CM12:CM13,"L")+COUNTIF(CM12:CM13,"H1")+COUNTIF(CM12:CM13,"H2")+COUNTIF(CM12:CM13,"OY")+COUNTIF(CM12:CM13,"M")+COUNTIF(CM12:CM13,"V")+COUNTIF(CM12:CM13,"P"))/2)&lt;=0.2)</formula>
    </cfRule>
    <cfRule type="expression" dxfId="812" priority="1227">
      <formula>AND(((COUNTIF(CM12:CM13,"O")+COUNTIF(CM12:CM13,"L")+COUNTIF(CM12:CM13,"H1")+COUNTIF(CM12:CM13,"H2")+COUNTIF(CM12:CM13,"OY")+COUNTIF(CM12:CM13,"M")+COUNTIF(CM12:CM13,"V")+COUNTIF(CM12:CM13,"P"))/2)&gt;0.2,((COUNTIF(CM12:CM13,"O")+COUNTIF(CM12:CM13,"L")+COUNTIF(CM12:CM13,"H1")+COUNTIF(CM12:CM13,"H2")+COUNTIF(CM12:CM13,"OY")+COUNTIF(CM12:CM13,"M")+COUNTIF(CM12:CM13,"V")+COUNTIF(CM12:CM13,"P"))/2)&lt;=0.4)</formula>
    </cfRule>
    <cfRule type="expression" dxfId="811" priority="1228">
      <formula>AND(((COUNTIF(CM12:CM13,"O")+COUNTIF(CM12:CM13,"L")+COUNTIF(CM12:CM13,"H1")+COUNTIF(CM12:CM13,"H2")+COUNTIF(CM12:CM13,"OY")+COUNTIF(CM12:CM13,"M")+COUNTIF(CM12:CM13,"V")+COUNTIF(CM12:CM13,"P"))/2)&gt;=0.4,((COUNTIF(CM12:CM13,"O")+COUNTIF(CM12:CM13,"L")+COUNTIF(CM12:CM13,"H1")+COUNTIF(CM12:CM13,"H2")+COUNTIF(CM12:CM13,"OY")+COUNTIF(CM12:CM13,"M")+COUNTIF(CM12:CM13,"V")+COUNTIF(CM12:CM13,"P"))/2)&lt;=1)</formula>
    </cfRule>
  </conditionalFormatting>
  <conditionalFormatting sqref="CM24:CP24">
    <cfRule type="expression" dxfId="810" priority="1224" stopIfTrue="1">
      <formula>AND(CM$7&lt;&gt;"",VLOOKUP(CM$8,$NX$23:$NY$30,2,0)&lt;&gt;"Yes")</formula>
    </cfRule>
    <cfRule type="expression" dxfId="809" priority="1225" stopIfTrue="1">
      <formula>ISNUMBER(MATCH(DATE($B$4,$B$3+$B$5-1,CM$7),HolidayListNamedRange,0))</formula>
    </cfRule>
  </conditionalFormatting>
  <conditionalFormatting sqref="CM24:CP24">
    <cfRule type="expression" dxfId="808" priority="1221">
      <formula>AND(((COUNTIF(CM16:CM23,"O")+COUNTIF(CM16:CM23,"L")+COUNTIF(CM16:CM23,"H1")+COUNTIF(CM16:CM23,"H2")+COUNTIF(CM16:CM23,"OY")+COUNTIF(CM16:CM23,"M")+COUNTIF(CM16:CM23,"V")+COUNTIF(CM16:CM23,"P"))/8)&gt;=0,((COUNTIF(CM16:CM23,"O")+COUNTIF(CM16:CM23,"L")+COUNTIF(CM16:CM23,"H1")+COUNTIF(CM16:CM23,"H2")+COUNTIF(CM16:CM23,"OY")+COUNTIF(CM16:CM23,"M")+COUNTIF(CM16:CM23,"V")+COUNTIF(CM16:CM23,"P"))/8)&lt;=0.2)</formula>
    </cfRule>
    <cfRule type="expression" dxfId="807" priority="1222">
      <formula>AND(((COUNTIF(CM16:CM23,"O")+COUNTIF(CM16:CM23,"L")+COUNTIF(CM16:CM23,"H1")+COUNTIF(CM16:CM23,"H2")+COUNTIF(CM16:CM23,"OY")+COUNTIF(CM16:CM23,"M")+COUNTIF(CM16:CM23,"V")+COUNTIF(CM16:CM23,"P"))/8)&gt;0.2,((COUNTIF(CM16:CM23,"O")+COUNTIF(CM16:CM23,"L")+COUNTIF(CM16:CM23,"H1")+COUNTIF(CM16:CM23,"H2")+COUNTIF(CM16:CM23,"OY")+COUNTIF(CM16:CM23,"M")+COUNTIF(CM16:CM23,"V")+COUNTIF(CM16:CM23,"P"))/8)&lt;=0.4)</formula>
    </cfRule>
    <cfRule type="expression" dxfId="806" priority="1223">
      <formula>AND(((COUNTIF(CM16:CM23,"O")+COUNTIF(CM16:CM23,"L")+COUNTIF(CM16:CM23,"H1")+COUNTIF(CM16:CM23,"H2")+COUNTIF(CM16:CM23,"OY")+COUNTIF(CM16:CM23,"M")+COUNTIF(CM16:CM23,"V")+COUNTIF(CM16:CM23,"P"))/8)&gt;=0.4,((COUNTIF(CM16:CM23,"O")+COUNTIF(CM16:CM23,"L")+COUNTIF(CM16:CM23,"H1")+COUNTIF(CM16:CM23,"H2")+COUNTIF(CM16:CM23,"OY")+COUNTIF(CM16:CM23,"M")+COUNTIF(CM16:CM23,"V")+COUNTIF(CM16:CM23,"P"))/8)&lt;=1)</formula>
    </cfRule>
  </conditionalFormatting>
  <conditionalFormatting sqref="CQ10:CQ13">
    <cfRule type="expression" dxfId="805" priority="1209" stopIfTrue="1">
      <formula>AND(CQ$7&lt;&gt;"",VLOOKUP(CQ$8,$NX$25:$NY$32,2,0)&lt;&gt;"Yes")</formula>
    </cfRule>
    <cfRule type="expression" dxfId="804" priority="1210" stopIfTrue="1">
      <formula>ISNUMBER(MATCH(DATE($B$4,$B$3+$B$5-1,CQ$7),HolidayListNamedRange,0))</formula>
    </cfRule>
  </conditionalFormatting>
  <conditionalFormatting sqref="CQ14">
    <cfRule type="expression" dxfId="803" priority="1207" stopIfTrue="1">
      <formula>AND(CQ$7&lt;&gt;"",VLOOKUP(CQ$8,$NX$23:$NY$30,2,0)&lt;&gt;"Yes")</formula>
    </cfRule>
    <cfRule type="expression" dxfId="802" priority="1208" stopIfTrue="1">
      <formula>ISNUMBER(MATCH(DATE($B$4,$B$3+$B$5-1,CQ$7),HolidayListNamedRange,0))</formula>
    </cfRule>
  </conditionalFormatting>
  <conditionalFormatting sqref="CQ14">
    <cfRule type="expression" dxfId="801" priority="1204">
      <formula>AND(((COUNTIF(CQ12:CQ13,"O")+COUNTIF(CQ12:CQ13,"L")+COUNTIF(CQ12:CQ13,"H1")+COUNTIF(CQ12:CQ13,"H2")+COUNTIF(CQ12:CQ13,"OY")+COUNTIF(CQ12:CQ13,"M")+COUNTIF(CQ12:CQ13,"V")+COUNTIF(CQ12:CQ13,"P"))/2)&gt;=0,((COUNTIF(CQ12:CQ13,"O")+COUNTIF(CQ12:CQ13,"L")+COUNTIF(CQ12:CQ13,"H1")+COUNTIF(CQ12:CQ13,"H2")+COUNTIF(CQ12:CQ13,"OY")+COUNTIF(CQ12:CQ13,"M")+COUNTIF(CQ12:CQ13,"V")+COUNTIF(CQ12:CQ13,"P"))/2)&lt;=0.2)</formula>
    </cfRule>
    <cfRule type="expression" dxfId="800" priority="1205">
      <formula>AND(((COUNTIF(CQ12:CQ13,"O")+COUNTIF(CQ12:CQ13,"L")+COUNTIF(CQ12:CQ13,"H1")+COUNTIF(CQ12:CQ13,"H2")+COUNTIF(CQ12:CQ13,"OY")+COUNTIF(CQ12:CQ13,"M")+COUNTIF(CQ12:CQ13,"V")+COUNTIF(CQ12:CQ13,"P"))/2)&gt;0.2,((COUNTIF(CQ12:CQ13,"O")+COUNTIF(CQ12:CQ13,"L")+COUNTIF(CQ12:CQ13,"H1")+COUNTIF(CQ12:CQ13,"H2")+COUNTIF(CQ12:CQ13,"OY")+COUNTIF(CQ12:CQ13,"M")+COUNTIF(CQ12:CQ13,"V")+COUNTIF(CQ12:CQ13,"P"))/2)&lt;=0.4)</formula>
    </cfRule>
    <cfRule type="expression" dxfId="799" priority="1206">
      <formula>AND(((COUNTIF(CQ12:CQ13,"O")+COUNTIF(CQ12:CQ13,"L")+COUNTIF(CQ12:CQ13,"H1")+COUNTIF(CQ12:CQ13,"H2")+COUNTIF(CQ12:CQ13,"OY")+COUNTIF(CQ12:CQ13,"M")+COUNTIF(CQ12:CQ13,"V")+COUNTIF(CQ12:CQ13,"P"))/2)&gt;=0.4,((COUNTIF(CQ12:CQ13,"O")+COUNTIF(CQ12:CQ13,"L")+COUNTIF(CQ12:CQ13,"H1")+COUNTIF(CQ12:CQ13,"H2")+COUNTIF(CQ12:CQ13,"OY")+COUNTIF(CQ12:CQ13,"M")+COUNTIF(CQ12:CQ13,"V")+COUNTIF(CQ12:CQ13,"P"))/2)&lt;=1)</formula>
    </cfRule>
  </conditionalFormatting>
  <conditionalFormatting sqref="CQ24">
    <cfRule type="expression" dxfId="798" priority="1202" stopIfTrue="1">
      <formula>AND(CQ$7&lt;&gt;"",VLOOKUP(CQ$8,$NX$23:$NY$30,2,0)&lt;&gt;"Yes")</formula>
    </cfRule>
    <cfRule type="expression" dxfId="797" priority="1203" stopIfTrue="1">
      <formula>ISNUMBER(MATCH(DATE($B$4,$B$3+$B$5-1,CQ$7),HolidayListNamedRange,0))</formula>
    </cfRule>
  </conditionalFormatting>
  <conditionalFormatting sqref="CQ24">
    <cfRule type="expression" dxfId="796" priority="1199">
      <formula>AND(((COUNTIF(CQ16:CQ23,"O")+COUNTIF(CQ16:CQ23,"L")+COUNTIF(CQ16:CQ23,"H1")+COUNTIF(CQ16:CQ23,"H2")+COUNTIF(CQ16:CQ23,"OY")+COUNTIF(CQ16:CQ23,"M")+COUNTIF(CQ16:CQ23,"V")+COUNTIF(CQ16:CQ23,"P"))/8)&gt;=0,((COUNTIF(CQ16:CQ23,"O")+COUNTIF(CQ16:CQ23,"L")+COUNTIF(CQ16:CQ23,"H1")+COUNTIF(CQ16:CQ23,"H2")+COUNTIF(CQ16:CQ23,"OY")+COUNTIF(CQ16:CQ23,"M")+COUNTIF(CQ16:CQ23,"V")+COUNTIF(CQ16:CQ23,"P"))/8)&lt;=0.2)</formula>
    </cfRule>
    <cfRule type="expression" dxfId="795" priority="1200">
      <formula>AND(((COUNTIF(CQ16:CQ23,"O")+COUNTIF(CQ16:CQ23,"L")+COUNTIF(CQ16:CQ23,"H1")+COUNTIF(CQ16:CQ23,"H2")+COUNTIF(CQ16:CQ23,"OY")+COUNTIF(CQ16:CQ23,"M")+COUNTIF(CQ16:CQ23,"V")+COUNTIF(CQ16:CQ23,"P"))/8)&gt;0.2,((COUNTIF(CQ16:CQ23,"O")+COUNTIF(CQ16:CQ23,"L")+COUNTIF(CQ16:CQ23,"H1")+COUNTIF(CQ16:CQ23,"H2")+COUNTIF(CQ16:CQ23,"OY")+COUNTIF(CQ16:CQ23,"M")+COUNTIF(CQ16:CQ23,"V")+COUNTIF(CQ16:CQ23,"P"))/8)&lt;=0.4)</formula>
    </cfRule>
    <cfRule type="expression" dxfId="794" priority="1201">
      <formula>AND(((COUNTIF(CQ16:CQ23,"O")+COUNTIF(CQ16:CQ23,"L")+COUNTIF(CQ16:CQ23,"H1")+COUNTIF(CQ16:CQ23,"H2")+COUNTIF(CQ16:CQ23,"OY")+COUNTIF(CQ16:CQ23,"M")+COUNTIF(CQ16:CQ23,"V")+COUNTIF(CQ16:CQ23,"P"))/8)&gt;=0.4,((COUNTIF(CQ16:CQ23,"O")+COUNTIF(CQ16:CQ23,"L")+COUNTIF(CQ16:CQ23,"H1")+COUNTIF(CQ16:CQ23,"H2")+COUNTIF(CQ16:CQ23,"OY")+COUNTIF(CQ16:CQ23,"M")+COUNTIF(CQ16:CQ23,"V")+COUNTIF(CQ16:CQ23,"P"))/8)&lt;=1)</formula>
    </cfRule>
  </conditionalFormatting>
  <conditionalFormatting sqref="CT10:CX13">
    <cfRule type="expression" dxfId="793" priority="1187" stopIfTrue="1">
      <formula>AND(CT$7&lt;&gt;"",VLOOKUP(CT$8,$NX$25:$NY$32,2,0)&lt;&gt;"Yes")</formula>
    </cfRule>
    <cfRule type="expression" dxfId="792" priority="1188" stopIfTrue="1">
      <formula>ISNUMBER(MATCH(DATE($B$4,$B$3+$B$5-1,CT$7),HolidayListNamedRange,0))</formula>
    </cfRule>
  </conditionalFormatting>
  <conditionalFormatting sqref="CT14:CX14">
    <cfRule type="expression" dxfId="791" priority="1185" stopIfTrue="1">
      <formula>AND(CT$7&lt;&gt;"",VLOOKUP(CT$8,$NX$23:$NY$30,2,0)&lt;&gt;"Yes")</formula>
    </cfRule>
    <cfRule type="expression" dxfId="790" priority="1186" stopIfTrue="1">
      <formula>ISNUMBER(MATCH(DATE($B$4,$B$3+$B$5-1,CT$7),HolidayListNamedRange,0))</formula>
    </cfRule>
  </conditionalFormatting>
  <conditionalFormatting sqref="CT14:CX14">
    <cfRule type="expression" dxfId="789" priority="1182">
      <formula>AND(((COUNTIF(CT12:CT13,"O")+COUNTIF(CT12:CT13,"L")+COUNTIF(CT12:CT13,"H1")+COUNTIF(CT12:CT13,"H2")+COUNTIF(CT12:CT13,"OY")+COUNTIF(CT12:CT13,"M")+COUNTIF(CT12:CT13,"V")+COUNTIF(CT12:CT13,"P"))/2)&gt;=0,((COUNTIF(CT12:CT13,"O")+COUNTIF(CT12:CT13,"L")+COUNTIF(CT12:CT13,"H1")+COUNTIF(CT12:CT13,"H2")+COUNTIF(CT12:CT13,"OY")+COUNTIF(CT12:CT13,"M")+COUNTIF(CT12:CT13,"V")+COUNTIF(CT12:CT13,"P"))/2)&lt;=0.2)</formula>
    </cfRule>
    <cfRule type="expression" dxfId="788" priority="1183">
      <formula>AND(((COUNTIF(CT12:CT13,"O")+COUNTIF(CT12:CT13,"L")+COUNTIF(CT12:CT13,"H1")+COUNTIF(CT12:CT13,"H2")+COUNTIF(CT12:CT13,"OY")+COUNTIF(CT12:CT13,"M")+COUNTIF(CT12:CT13,"V")+COUNTIF(CT12:CT13,"P"))/2)&gt;0.2,((COUNTIF(CT12:CT13,"O")+COUNTIF(CT12:CT13,"L")+COUNTIF(CT12:CT13,"H1")+COUNTIF(CT12:CT13,"H2")+COUNTIF(CT12:CT13,"OY")+COUNTIF(CT12:CT13,"M")+COUNTIF(CT12:CT13,"V")+COUNTIF(CT12:CT13,"P"))/2)&lt;=0.4)</formula>
    </cfRule>
    <cfRule type="expression" dxfId="787" priority="1184">
      <formula>AND(((COUNTIF(CT12:CT13,"O")+COUNTIF(CT12:CT13,"L")+COUNTIF(CT12:CT13,"H1")+COUNTIF(CT12:CT13,"H2")+COUNTIF(CT12:CT13,"OY")+COUNTIF(CT12:CT13,"M")+COUNTIF(CT12:CT13,"V")+COUNTIF(CT12:CT13,"P"))/2)&gt;=0.4,((COUNTIF(CT12:CT13,"O")+COUNTIF(CT12:CT13,"L")+COUNTIF(CT12:CT13,"H1")+COUNTIF(CT12:CT13,"H2")+COUNTIF(CT12:CT13,"OY")+COUNTIF(CT12:CT13,"M")+COUNTIF(CT12:CT13,"V")+COUNTIF(CT12:CT13,"P"))/2)&lt;=1)</formula>
    </cfRule>
  </conditionalFormatting>
  <conditionalFormatting sqref="CT24:CX24">
    <cfRule type="expression" dxfId="786" priority="1180" stopIfTrue="1">
      <formula>AND(CT$7&lt;&gt;"",VLOOKUP(CT$8,$NX$23:$NY$30,2,0)&lt;&gt;"Yes")</formula>
    </cfRule>
    <cfRule type="expression" dxfId="785" priority="1181" stopIfTrue="1">
      <formula>ISNUMBER(MATCH(DATE($B$4,$B$3+$B$5-1,CT$7),HolidayListNamedRange,0))</formula>
    </cfRule>
  </conditionalFormatting>
  <conditionalFormatting sqref="CT24:CX24">
    <cfRule type="expression" dxfId="784" priority="1177">
      <formula>AND(((COUNTIF(CT16:CT23,"O")+COUNTIF(CT16:CT23,"L")+COUNTIF(CT16:CT23,"H1")+COUNTIF(CT16:CT23,"H2")+COUNTIF(CT16:CT23,"OY")+COUNTIF(CT16:CT23,"M")+COUNTIF(CT16:CT23,"V")+COUNTIF(CT16:CT23,"P"))/8)&gt;=0,((COUNTIF(CT16:CT23,"O")+COUNTIF(CT16:CT23,"L")+COUNTIF(CT16:CT23,"H1")+COUNTIF(CT16:CT23,"H2")+COUNTIF(CT16:CT23,"OY")+COUNTIF(CT16:CT23,"M")+COUNTIF(CT16:CT23,"V")+COUNTIF(CT16:CT23,"P"))/8)&lt;=0.2)</formula>
    </cfRule>
    <cfRule type="expression" dxfId="783" priority="1178">
      <formula>AND(((COUNTIF(CT16:CT23,"O")+COUNTIF(CT16:CT23,"L")+COUNTIF(CT16:CT23,"H1")+COUNTIF(CT16:CT23,"H2")+COUNTIF(CT16:CT23,"OY")+COUNTIF(CT16:CT23,"M")+COUNTIF(CT16:CT23,"V")+COUNTIF(CT16:CT23,"P"))/8)&gt;0.2,((COUNTIF(CT16:CT23,"O")+COUNTIF(CT16:CT23,"L")+COUNTIF(CT16:CT23,"H1")+COUNTIF(CT16:CT23,"H2")+COUNTIF(CT16:CT23,"OY")+COUNTIF(CT16:CT23,"M")+COUNTIF(CT16:CT23,"V")+COUNTIF(CT16:CT23,"P"))/8)&lt;=0.4)</formula>
    </cfRule>
    <cfRule type="expression" dxfId="782" priority="1179">
      <formula>AND(((COUNTIF(CT16:CT23,"O")+COUNTIF(CT16:CT23,"L")+COUNTIF(CT16:CT23,"H1")+COUNTIF(CT16:CT23,"H2")+COUNTIF(CT16:CT23,"OY")+COUNTIF(CT16:CT23,"M")+COUNTIF(CT16:CT23,"V")+COUNTIF(CT16:CT23,"P"))/8)&gt;=0.4,((COUNTIF(CT16:CT23,"O")+COUNTIF(CT16:CT23,"L")+COUNTIF(CT16:CT23,"H1")+COUNTIF(CT16:CT23,"H2")+COUNTIF(CT16:CT23,"OY")+COUNTIF(CT16:CT23,"M")+COUNTIF(CT16:CT23,"V")+COUNTIF(CT16:CT23,"P"))/8)&lt;=1)</formula>
    </cfRule>
  </conditionalFormatting>
  <conditionalFormatting sqref="DA10:DE13">
    <cfRule type="expression" dxfId="781" priority="1165" stopIfTrue="1">
      <formula>AND(DA$7&lt;&gt;"",VLOOKUP(DA$8,$NX$25:$NY$32,2,0)&lt;&gt;"Yes")</formula>
    </cfRule>
    <cfRule type="expression" dxfId="780" priority="1166" stopIfTrue="1">
      <formula>ISNUMBER(MATCH(DATE($B$4,$B$3+$B$5-1,DA$7),HolidayListNamedRange,0))</formula>
    </cfRule>
  </conditionalFormatting>
  <conditionalFormatting sqref="DA14:DE14">
    <cfRule type="expression" dxfId="779" priority="1163" stopIfTrue="1">
      <formula>AND(DA$7&lt;&gt;"",VLOOKUP(DA$8,$NX$23:$NY$30,2,0)&lt;&gt;"Yes")</formula>
    </cfRule>
    <cfRule type="expression" dxfId="778" priority="1164" stopIfTrue="1">
      <formula>ISNUMBER(MATCH(DATE($B$4,$B$3+$B$5-1,DA$7),HolidayListNamedRange,0))</formula>
    </cfRule>
  </conditionalFormatting>
  <conditionalFormatting sqref="DA14:DE14">
    <cfRule type="expression" dxfId="777" priority="1160">
      <formula>AND(((COUNTIF(DA12:DA13,"O")+COUNTIF(DA12:DA13,"L")+COUNTIF(DA12:DA13,"H1")+COUNTIF(DA12:DA13,"H2")+COUNTIF(DA12:DA13,"OY")+COUNTIF(DA12:DA13,"M")+COUNTIF(DA12:DA13,"V")+COUNTIF(DA12:DA13,"P"))/2)&gt;=0,((COUNTIF(DA12:DA13,"O")+COUNTIF(DA12:DA13,"L")+COUNTIF(DA12:DA13,"H1")+COUNTIF(DA12:DA13,"H2")+COUNTIF(DA12:DA13,"OY")+COUNTIF(DA12:DA13,"M")+COUNTIF(DA12:DA13,"V")+COUNTIF(DA12:DA13,"P"))/2)&lt;=0.2)</formula>
    </cfRule>
    <cfRule type="expression" dxfId="776" priority="1161">
      <formula>AND(((COUNTIF(DA12:DA13,"O")+COUNTIF(DA12:DA13,"L")+COUNTIF(DA12:DA13,"H1")+COUNTIF(DA12:DA13,"H2")+COUNTIF(DA12:DA13,"OY")+COUNTIF(DA12:DA13,"M")+COUNTIF(DA12:DA13,"V")+COUNTIF(DA12:DA13,"P"))/2)&gt;0.2,((COUNTIF(DA12:DA13,"O")+COUNTIF(DA12:DA13,"L")+COUNTIF(DA12:DA13,"H1")+COUNTIF(DA12:DA13,"H2")+COUNTIF(DA12:DA13,"OY")+COUNTIF(DA12:DA13,"M")+COUNTIF(DA12:DA13,"V")+COUNTIF(DA12:DA13,"P"))/2)&lt;=0.4)</formula>
    </cfRule>
    <cfRule type="expression" dxfId="775" priority="1162">
      <formula>AND(((COUNTIF(DA12:DA13,"O")+COUNTIF(DA12:DA13,"L")+COUNTIF(DA12:DA13,"H1")+COUNTIF(DA12:DA13,"H2")+COUNTIF(DA12:DA13,"OY")+COUNTIF(DA12:DA13,"M")+COUNTIF(DA12:DA13,"V")+COUNTIF(DA12:DA13,"P"))/2)&gt;=0.4,((COUNTIF(DA12:DA13,"O")+COUNTIF(DA12:DA13,"L")+COUNTIF(DA12:DA13,"H1")+COUNTIF(DA12:DA13,"H2")+COUNTIF(DA12:DA13,"OY")+COUNTIF(DA12:DA13,"M")+COUNTIF(DA12:DA13,"V")+COUNTIF(DA12:DA13,"P"))/2)&lt;=1)</formula>
    </cfRule>
  </conditionalFormatting>
  <conditionalFormatting sqref="DA24:DE24">
    <cfRule type="expression" dxfId="774" priority="1158" stopIfTrue="1">
      <formula>AND(DA$7&lt;&gt;"",VLOOKUP(DA$8,$NX$23:$NY$30,2,0)&lt;&gt;"Yes")</formula>
    </cfRule>
    <cfRule type="expression" dxfId="773" priority="1159" stopIfTrue="1">
      <formula>ISNUMBER(MATCH(DATE($B$4,$B$3+$B$5-1,DA$7),HolidayListNamedRange,0))</formula>
    </cfRule>
  </conditionalFormatting>
  <conditionalFormatting sqref="DA24:DE24">
    <cfRule type="expression" dxfId="772" priority="1155">
      <formula>AND(((COUNTIF(DA16:DA23,"O")+COUNTIF(DA16:DA23,"L")+COUNTIF(DA16:DA23,"H1")+COUNTIF(DA16:DA23,"H2")+COUNTIF(DA16:DA23,"OY")+COUNTIF(DA16:DA23,"M")+COUNTIF(DA16:DA23,"V")+COUNTIF(DA16:DA23,"P"))/8)&gt;=0,((COUNTIF(DA16:DA23,"O")+COUNTIF(DA16:DA23,"L")+COUNTIF(DA16:DA23,"H1")+COUNTIF(DA16:DA23,"H2")+COUNTIF(DA16:DA23,"OY")+COUNTIF(DA16:DA23,"M")+COUNTIF(DA16:DA23,"V")+COUNTIF(DA16:DA23,"P"))/8)&lt;=0.2)</formula>
    </cfRule>
    <cfRule type="expression" dxfId="771" priority="1156">
      <formula>AND(((COUNTIF(DA16:DA23,"O")+COUNTIF(DA16:DA23,"L")+COUNTIF(DA16:DA23,"H1")+COUNTIF(DA16:DA23,"H2")+COUNTIF(DA16:DA23,"OY")+COUNTIF(DA16:DA23,"M")+COUNTIF(DA16:DA23,"V")+COUNTIF(DA16:DA23,"P"))/8)&gt;0.2,((COUNTIF(DA16:DA23,"O")+COUNTIF(DA16:DA23,"L")+COUNTIF(DA16:DA23,"H1")+COUNTIF(DA16:DA23,"H2")+COUNTIF(DA16:DA23,"OY")+COUNTIF(DA16:DA23,"M")+COUNTIF(DA16:DA23,"V")+COUNTIF(DA16:DA23,"P"))/8)&lt;=0.4)</formula>
    </cfRule>
    <cfRule type="expression" dxfId="770" priority="1157">
      <formula>AND(((COUNTIF(DA16:DA23,"O")+COUNTIF(DA16:DA23,"L")+COUNTIF(DA16:DA23,"H1")+COUNTIF(DA16:DA23,"H2")+COUNTIF(DA16:DA23,"OY")+COUNTIF(DA16:DA23,"M")+COUNTIF(DA16:DA23,"V")+COUNTIF(DA16:DA23,"P"))/8)&gt;=0.4,((COUNTIF(DA16:DA23,"O")+COUNTIF(DA16:DA23,"L")+COUNTIF(DA16:DA23,"H1")+COUNTIF(DA16:DA23,"H2")+COUNTIF(DA16:DA23,"OY")+COUNTIF(DA16:DA23,"M")+COUNTIF(DA16:DA23,"V")+COUNTIF(DA16:DA23,"P"))/8)&lt;=1)</formula>
    </cfRule>
  </conditionalFormatting>
  <conditionalFormatting sqref="DH10:DL13">
    <cfRule type="expression" dxfId="769" priority="1143" stopIfTrue="1">
      <formula>AND(DH$7&lt;&gt;"",VLOOKUP(DH$8,$NX$25:$NY$32,2,0)&lt;&gt;"Yes")</formula>
    </cfRule>
    <cfRule type="expression" dxfId="768" priority="1144" stopIfTrue="1">
      <formula>ISNUMBER(MATCH(DATE($B$4,$B$3+$B$5-1,DH$7),HolidayListNamedRange,0))</formula>
    </cfRule>
  </conditionalFormatting>
  <conditionalFormatting sqref="DH14:DL14">
    <cfRule type="expression" dxfId="767" priority="1141" stopIfTrue="1">
      <formula>AND(DH$7&lt;&gt;"",VLOOKUP(DH$8,$NX$23:$NY$30,2,0)&lt;&gt;"Yes")</formula>
    </cfRule>
    <cfRule type="expression" dxfId="766" priority="1142" stopIfTrue="1">
      <formula>ISNUMBER(MATCH(DATE($B$4,$B$3+$B$5-1,DH$7),HolidayListNamedRange,0))</formula>
    </cfRule>
  </conditionalFormatting>
  <conditionalFormatting sqref="DH14:DL14">
    <cfRule type="expression" dxfId="765" priority="1138">
      <formula>AND(((COUNTIF(DH12:DH13,"O")+COUNTIF(DH12:DH13,"L")+COUNTIF(DH12:DH13,"H1")+COUNTIF(DH12:DH13,"H2")+COUNTIF(DH12:DH13,"OY")+COUNTIF(DH12:DH13,"M")+COUNTIF(DH12:DH13,"V")+COUNTIF(DH12:DH13,"P"))/2)&gt;=0,((COUNTIF(DH12:DH13,"O")+COUNTIF(DH12:DH13,"L")+COUNTIF(DH12:DH13,"H1")+COUNTIF(DH12:DH13,"H2")+COUNTIF(DH12:DH13,"OY")+COUNTIF(DH12:DH13,"M")+COUNTIF(DH12:DH13,"V")+COUNTIF(DH12:DH13,"P"))/2)&lt;=0.2)</formula>
    </cfRule>
    <cfRule type="expression" dxfId="764" priority="1139">
      <formula>AND(((COUNTIF(DH12:DH13,"O")+COUNTIF(DH12:DH13,"L")+COUNTIF(DH12:DH13,"H1")+COUNTIF(DH12:DH13,"H2")+COUNTIF(DH12:DH13,"OY")+COUNTIF(DH12:DH13,"M")+COUNTIF(DH12:DH13,"V")+COUNTIF(DH12:DH13,"P"))/2)&gt;0.2,((COUNTIF(DH12:DH13,"O")+COUNTIF(DH12:DH13,"L")+COUNTIF(DH12:DH13,"H1")+COUNTIF(DH12:DH13,"H2")+COUNTIF(DH12:DH13,"OY")+COUNTIF(DH12:DH13,"M")+COUNTIF(DH12:DH13,"V")+COUNTIF(DH12:DH13,"P"))/2)&lt;=0.4)</formula>
    </cfRule>
    <cfRule type="expression" dxfId="763" priority="1140">
      <formula>AND(((COUNTIF(DH12:DH13,"O")+COUNTIF(DH12:DH13,"L")+COUNTIF(DH12:DH13,"H1")+COUNTIF(DH12:DH13,"H2")+COUNTIF(DH12:DH13,"OY")+COUNTIF(DH12:DH13,"M")+COUNTIF(DH12:DH13,"V")+COUNTIF(DH12:DH13,"P"))/2)&gt;=0.4,((COUNTIF(DH12:DH13,"O")+COUNTIF(DH12:DH13,"L")+COUNTIF(DH12:DH13,"H1")+COUNTIF(DH12:DH13,"H2")+COUNTIF(DH12:DH13,"OY")+COUNTIF(DH12:DH13,"M")+COUNTIF(DH12:DH13,"V")+COUNTIF(DH12:DH13,"P"))/2)&lt;=1)</formula>
    </cfRule>
  </conditionalFormatting>
  <conditionalFormatting sqref="DH24:DL24">
    <cfRule type="expression" dxfId="762" priority="1136" stopIfTrue="1">
      <formula>AND(DH$7&lt;&gt;"",VLOOKUP(DH$8,$NX$23:$NY$30,2,0)&lt;&gt;"Yes")</formula>
    </cfRule>
    <cfRule type="expression" dxfId="761" priority="1137" stopIfTrue="1">
      <formula>ISNUMBER(MATCH(DATE($B$4,$B$3+$B$5-1,DH$7),HolidayListNamedRange,0))</formula>
    </cfRule>
  </conditionalFormatting>
  <conditionalFormatting sqref="DH24:DL24">
    <cfRule type="expression" dxfId="760" priority="1133">
      <formula>AND(((COUNTIF(DH16:DH23,"O")+COUNTIF(DH16:DH23,"L")+COUNTIF(DH16:DH23,"H1")+COUNTIF(DH16:DH23,"H2")+COUNTIF(DH16:DH23,"OY")+COUNTIF(DH16:DH23,"M")+COUNTIF(DH16:DH23,"V")+COUNTIF(DH16:DH23,"P"))/8)&gt;=0,((COUNTIF(DH16:DH23,"O")+COUNTIF(DH16:DH23,"L")+COUNTIF(DH16:DH23,"H1")+COUNTIF(DH16:DH23,"H2")+COUNTIF(DH16:DH23,"OY")+COUNTIF(DH16:DH23,"M")+COUNTIF(DH16:DH23,"V")+COUNTIF(DH16:DH23,"P"))/8)&lt;=0.2)</formula>
    </cfRule>
    <cfRule type="expression" dxfId="759" priority="1134">
      <formula>AND(((COUNTIF(DH16:DH23,"O")+COUNTIF(DH16:DH23,"L")+COUNTIF(DH16:DH23,"H1")+COUNTIF(DH16:DH23,"H2")+COUNTIF(DH16:DH23,"OY")+COUNTIF(DH16:DH23,"M")+COUNTIF(DH16:DH23,"V")+COUNTIF(DH16:DH23,"P"))/8)&gt;0.2,((COUNTIF(DH16:DH23,"O")+COUNTIF(DH16:DH23,"L")+COUNTIF(DH16:DH23,"H1")+COUNTIF(DH16:DH23,"H2")+COUNTIF(DH16:DH23,"OY")+COUNTIF(DH16:DH23,"M")+COUNTIF(DH16:DH23,"V")+COUNTIF(DH16:DH23,"P"))/8)&lt;=0.4)</formula>
    </cfRule>
    <cfRule type="expression" dxfId="758" priority="1135">
      <formula>AND(((COUNTIF(DH16:DH23,"O")+COUNTIF(DH16:DH23,"L")+COUNTIF(DH16:DH23,"H1")+COUNTIF(DH16:DH23,"H2")+COUNTIF(DH16:DH23,"OY")+COUNTIF(DH16:DH23,"M")+COUNTIF(DH16:DH23,"V")+COUNTIF(DH16:DH23,"P"))/8)&gt;=0.4,((COUNTIF(DH16:DH23,"O")+COUNTIF(DH16:DH23,"L")+COUNTIF(DH16:DH23,"H1")+COUNTIF(DH16:DH23,"H2")+COUNTIF(DH16:DH23,"OY")+COUNTIF(DH16:DH23,"M")+COUNTIF(DH16:DH23,"V")+COUNTIF(DH16:DH23,"P"))/8)&lt;=1)</formula>
    </cfRule>
  </conditionalFormatting>
  <conditionalFormatting sqref="DO10:DS13">
    <cfRule type="expression" dxfId="757" priority="1121" stopIfTrue="1">
      <formula>AND(DO$7&lt;&gt;"",VLOOKUP(DO$8,$NX$25:$NY$32,2,0)&lt;&gt;"Yes")</formula>
    </cfRule>
    <cfRule type="expression" dxfId="756" priority="1122" stopIfTrue="1">
      <formula>ISNUMBER(MATCH(DATE($B$4,$B$3+$B$5-1,DO$7),HolidayListNamedRange,0))</formula>
    </cfRule>
  </conditionalFormatting>
  <conditionalFormatting sqref="DO14:DS14">
    <cfRule type="expression" dxfId="755" priority="1119" stopIfTrue="1">
      <formula>AND(DO$7&lt;&gt;"",VLOOKUP(DO$8,$NX$23:$NY$30,2,0)&lt;&gt;"Yes")</formula>
    </cfRule>
    <cfRule type="expression" dxfId="754" priority="1120" stopIfTrue="1">
      <formula>ISNUMBER(MATCH(DATE($B$4,$B$3+$B$5-1,DO$7),HolidayListNamedRange,0))</formula>
    </cfRule>
  </conditionalFormatting>
  <conditionalFormatting sqref="DO14:DS14">
    <cfRule type="expression" dxfId="753" priority="1116">
      <formula>AND(((COUNTIF(DO12:DO13,"O")+COUNTIF(DO12:DO13,"L")+COUNTIF(DO12:DO13,"H1")+COUNTIF(DO12:DO13,"H2")+COUNTIF(DO12:DO13,"OY")+COUNTIF(DO12:DO13,"M")+COUNTIF(DO12:DO13,"V")+COUNTIF(DO12:DO13,"P"))/2)&gt;=0,((COUNTIF(DO12:DO13,"O")+COUNTIF(DO12:DO13,"L")+COUNTIF(DO12:DO13,"H1")+COUNTIF(DO12:DO13,"H2")+COUNTIF(DO12:DO13,"OY")+COUNTIF(DO12:DO13,"M")+COUNTIF(DO12:DO13,"V")+COUNTIF(DO12:DO13,"P"))/2)&lt;=0.2)</formula>
    </cfRule>
    <cfRule type="expression" dxfId="752" priority="1117">
      <formula>AND(((COUNTIF(DO12:DO13,"O")+COUNTIF(DO12:DO13,"L")+COUNTIF(DO12:DO13,"H1")+COUNTIF(DO12:DO13,"H2")+COUNTIF(DO12:DO13,"OY")+COUNTIF(DO12:DO13,"M")+COUNTIF(DO12:DO13,"V")+COUNTIF(DO12:DO13,"P"))/2)&gt;0.2,((COUNTIF(DO12:DO13,"O")+COUNTIF(DO12:DO13,"L")+COUNTIF(DO12:DO13,"H1")+COUNTIF(DO12:DO13,"H2")+COUNTIF(DO12:DO13,"OY")+COUNTIF(DO12:DO13,"M")+COUNTIF(DO12:DO13,"V")+COUNTIF(DO12:DO13,"P"))/2)&lt;=0.4)</formula>
    </cfRule>
    <cfRule type="expression" dxfId="751" priority="1118">
      <formula>AND(((COUNTIF(DO12:DO13,"O")+COUNTIF(DO12:DO13,"L")+COUNTIF(DO12:DO13,"H1")+COUNTIF(DO12:DO13,"H2")+COUNTIF(DO12:DO13,"OY")+COUNTIF(DO12:DO13,"M")+COUNTIF(DO12:DO13,"V")+COUNTIF(DO12:DO13,"P"))/2)&gt;=0.4,((COUNTIF(DO12:DO13,"O")+COUNTIF(DO12:DO13,"L")+COUNTIF(DO12:DO13,"H1")+COUNTIF(DO12:DO13,"H2")+COUNTIF(DO12:DO13,"OY")+COUNTIF(DO12:DO13,"M")+COUNTIF(DO12:DO13,"V")+COUNTIF(DO12:DO13,"P"))/2)&lt;=1)</formula>
    </cfRule>
  </conditionalFormatting>
  <conditionalFormatting sqref="DO24:DS24">
    <cfRule type="expression" dxfId="750" priority="1114" stopIfTrue="1">
      <formula>AND(DO$7&lt;&gt;"",VLOOKUP(DO$8,$NX$23:$NY$30,2,0)&lt;&gt;"Yes")</formula>
    </cfRule>
    <cfRule type="expression" dxfId="749" priority="1115" stopIfTrue="1">
      <formula>ISNUMBER(MATCH(DATE($B$4,$B$3+$B$5-1,DO$7),HolidayListNamedRange,0))</formula>
    </cfRule>
  </conditionalFormatting>
  <conditionalFormatting sqref="DO24:DS24">
    <cfRule type="expression" dxfId="748" priority="1111">
      <formula>AND(((COUNTIF(DO16:DO23,"O")+COUNTIF(DO16:DO23,"L")+COUNTIF(DO16:DO23,"H1")+COUNTIF(DO16:DO23,"H2")+COUNTIF(DO16:DO23,"OY")+COUNTIF(DO16:DO23,"M")+COUNTIF(DO16:DO23,"V")+COUNTIF(DO16:DO23,"P"))/8)&gt;=0,((COUNTIF(DO16:DO23,"O")+COUNTIF(DO16:DO23,"L")+COUNTIF(DO16:DO23,"H1")+COUNTIF(DO16:DO23,"H2")+COUNTIF(DO16:DO23,"OY")+COUNTIF(DO16:DO23,"M")+COUNTIF(DO16:DO23,"V")+COUNTIF(DO16:DO23,"P"))/8)&lt;=0.2)</formula>
    </cfRule>
    <cfRule type="expression" dxfId="747" priority="1112">
      <formula>AND(((COUNTIF(DO16:DO23,"O")+COUNTIF(DO16:DO23,"L")+COUNTIF(DO16:DO23,"H1")+COUNTIF(DO16:DO23,"H2")+COUNTIF(DO16:DO23,"OY")+COUNTIF(DO16:DO23,"M")+COUNTIF(DO16:DO23,"V")+COUNTIF(DO16:DO23,"P"))/8)&gt;0.2,((COUNTIF(DO16:DO23,"O")+COUNTIF(DO16:DO23,"L")+COUNTIF(DO16:DO23,"H1")+COUNTIF(DO16:DO23,"H2")+COUNTIF(DO16:DO23,"OY")+COUNTIF(DO16:DO23,"M")+COUNTIF(DO16:DO23,"V")+COUNTIF(DO16:DO23,"P"))/8)&lt;=0.4)</formula>
    </cfRule>
    <cfRule type="expression" dxfId="746" priority="1113">
      <formula>AND(((COUNTIF(DO16:DO23,"O")+COUNTIF(DO16:DO23,"L")+COUNTIF(DO16:DO23,"H1")+COUNTIF(DO16:DO23,"H2")+COUNTIF(DO16:DO23,"OY")+COUNTIF(DO16:DO23,"M")+COUNTIF(DO16:DO23,"V")+COUNTIF(DO16:DO23,"P"))/8)&gt;=0.4,((COUNTIF(DO16:DO23,"O")+COUNTIF(DO16:DO23,"L")+COUNTIF(DO16:DO23,"H1")+COUNTIF(DO16:DO23,"H2")+COUNTIF(DO16:DO23,"OY")+COUNTIF(DO16:DO23,"M")+COUNTIF(DO16:DO23,"V")+COUNTIF(DO16:DO23,"P"))/8)&lt;=1)</formula>
    </cfRule>
  </conditionalFormatting>
  <conditionalFormatting sqref="DU10:DU13">
    <cfRule type="expression" dxfId="745" priority="1099" stopIfTrue="1">
      <formula>AND(DU$7&lt;&gt;"",VLOOKUP(DU$8,$NX$25:$NY$32,2,0)&lt;&gt;"Yes")</formula>
    </cfRule>
    <cfRule type="expression" dxfId="744" priority="1100" stopIfTrue="1">
      <formula>ISNUMBER(MATCH(DATE($B$4,$B$3+$B$5-1,DU$7),HolidayListNamedRange,0))</formula>
    </cfRule>
  </conditionalFormatting>
  <conditionalFormatting sqref="DU14">
    <cfRule type="expression" dxfId="743" priority="1097" stopIfTrue="1">
      <formula>AND(DU$7&lt;&gt;"",VLOOKUP(DU$8,$NX$23:$NY$30,2,0)&lt;&gt;"Yes")</formula>
    </cfRule>
    <cfRule type="expression" dxfId="742" priority="1098" stopIfTrue="1">
      <formula>ISNUMBER(MATCH(DATE($B$4,$B$3+$B$5-1,DU$7),HolidayListNamedRange,0))</formula>
    </cfRule>
  </conditionalFormatting>
  <conditionalFormatting sqref="DU14">
    <cfRule type="expression" dxfId="741" priority="1094">
      <formula>AND(((COUNTIF(DU12:DU13,"O")+COUNTIF(DU12:DU13,"L")+COUNTIF(DU12:DU13,"H1")+COUNTIF(DU12:DU13,"H2")+COUNTIF(DU12:DU13,"OY")+COUNTIF(DU12:DU13,"M")+COUNTIF(DU12:DU13,"V")+COUNTIF(DU12:DU13,"P"))/2)&gt;=0,((COUNTIF(DU12:DU13,"O")+COUNTIF(DU12:DU13,"L")+COUNTIF(DU12:DU13,"H1")+COUNTIF(DU12:DU13,"H2")+COUNTIF(DU12:DU13,"OY")+COUNTIF(DU12:DU13,"M")+COUNTIF(DU12:DU13,"V")+COUNTIF(DU12:DU13,"P"))/2)&lt;=0.2)</formula>
    </cfRule>
    <cfRule type="expression" dxfId="740" priority="1095">
      <formula>AND(((COUNTIF(DU12:DU13,"O")+COUNTIF(DU12:DU13,"L")+COUNTIF(DU12:DU13,"H1")+COUNTIF(DU12:DU13,"H2")+COUNTIF(DU12:DU13,"OY")+COUNTIF(DU12:DU13,"M")+COUNTIF(DU12:DU13,"V")+COUNTIF(DU12:DU13,"P"))/2)&gt;0.2,((COUNTIF(DU12:DU13,"O")+COUNTIF(DU12:DU13,"L")+COUNTIF(DU12:DU13,"H1")+COUNTIF(DU12:DU13,"H2")+COUNTIF(DU12:DU13,"OY")+COUNTIF(DU12:DU13,"M")+COUNTIF(DU12:DU13,"V")+COUNTIF(DU12:DU13,"P"))/2)&lt;=0.4)</formula>
    </cfRule>
    <cfRule type="expression" dxfId="739" priority="1096">
      <formula>AND(((COUNTIF(DU12:DU13,"O")+COUNTIF(DU12:DU13,"L")+COUNTIF(DU12:DU13,"H1")+COUNTIF(DU12:DU13,"H2")+COUNTIF(DU12:DU13,"OY")+COUNTIF(DU12:DU13,"M")+COUNTIF(DU12:DU13,"V")+COUNTIF(DU12:DU13,"P"))/2)&gt;=0.4,((COUNTIF(DU12:DU13,"O")+COUNTIF(DU12:DU13,"L")+COUNTIF(DU12:DU13,"H1")+COUNTIF(DU12:DU13,"H2")+COUNTIF(DU12:DU13,"OY")+COUNTIF(DU12:DU13,"M")+COUNTIF(DU12:DU13,"V")+COUNTIF(DU12:DU13,"P"))/2)&lt;=1)</formula>
    </cfRule>
  </conditionalFormatting>
  <conditionalFormatting sqref="DU24">
    <cfRule type="expression" dxfId="738" priority="1092" stopIfTrue="1">
      <formula>AND(DU$7&lt;&gt;"",VLOOKUP(DU$8,$NX$23:$NY$30,2,0)&lt;&gt;"Yes")</formula>
    </cfRule>
    <cfRule type="expression" dxfId="737" priority="1093" stopIfTrue="1">
      <formula>ISNUMBER(MATCH(DATE($B$4,$B$3+$B$5-1,DU$7),HolidayListNamedRange,0))</formula>
    </cfRule>
  </conditionalFormatting>
  <conditionalFormatting sqref="DU24">
    <cfRule type="expression" dxfId="736" priority="1089">
      <formula>AND(((COUNTIF(DU16:DU23,"O")+COUNTIF(DU16:DU23,"L")+COUNTIF(DU16:DU23,"H1")+COUNTIF(DU16:DU23,"H2")+COUNTIF(DU16:DU23,"OY")+COUNTIF(DU16:DU23,"M")+COUNTIF(DU16:DU23,"V")+COUNTIF(DU16:DU23,"P"))/8)&gt;=0,((COUNTIF(DU16:DU23,"O")+COUNTIF(DU16:DU23,"L")+COUNTIF(DU16:DU23,"H1")+COUNTIF(DU16:DU23,"H2")+COUNTIF(DU16:DU23,"OY")+COUNTIF(DU16:DU23,"M")+COUNTIF(DU16:DU23,"V")+COUNTIF(DU16:DU23,"P"))/8)&lt;=0.2)</formula>
    </cfRule>
    <cfRule type="expression" dxfId="735" priority="1090">
      <formula>AND(((COUNTIF(DU16:DU23,"O")+COUNTIF(DU16:DU23,"L")+COUNTIF(DU16:DU23,"H1")+COUNTIF(DU16:DU23,"H2")+COUNTIF(DU16:DU23,"OY")+COUNTIF(DU16:DU23,"M")+COUNTIF(DU16:DU23,"V")+COUNTIF(DU16:DU23,"P"))/8)&gt;0.2,((COUNTIF(DU16:DU23,"O")+COUNTIF(DU16:DU23,"L")+COUNTIF(DU16:DU23,"H1")+COUNTIF(DU16:DU23,"H2")+COUNTIF(DU16:DU23,"OY")+COUNTIF(DU16:DU23,"M")+COUNTIF(DU16:DU23,"V")+COUNTIF(DU16:DU23,"P"))/8)&lt;=0.4)</formula>
    </cfRule>
    <cfRule type="expression" dxfId="734" priority="1091">
      <formula>AND(((COUNTIF(DU16:DU23,"O")+COUNTIF(DU16:DU23,"L")+COUNTIF(DU16:DU23,"H1")+COUNTIF(DU16:DU23,"H2")+COUNTIF(DU16:DU23,"OY")+COUNTIF(DU16:DU23,"M")+COUNTIF(DU16:DU23,"V")+COUNTIF(DU16:DU23,"P"))/8)&gt;=0.4,((COUNTIF(DU16:DU23,"O")+COUNTIF(DU16:DU23,"L")+COUNTIF(DU16:DU23,"H1")+COUNTIF(DU16:DU23,"H2")+COUNTIF(DU16:DU23,"OY")+COUNTIF(DU16:DU23,"M")+COUNTIF(DU16:DU23,"V")+COUNTIF(DU16:DU23,"P"))/8)&lt;=1)</formula>
    </cfRule>
  </conditionalFormatting>
  <conditionalFormatting sqref="DW10:EA13">
    <cfRule type="expression" dxfId="733" priority="1077" stopIfTrue="1">
      <formula>AND(DW$7&lt;&gt;"",VLOOKUP(DW$8,$NX$25:$NY$32,2,0)&lt;&gt;"Yes")</formula>
    </cfRule>
    <cfRule type="expression" dxfId="732" priority="1078" stopIfTrue="1">
      <formula>ISNUMBER(MATCH(DATE($B$4,$B$3+$B$5-1,DW$7),HolidayListNamedRange,0))</formula>
    </cfRule>
  </conditionalFormatting>
  <conditionalFormatting sqref="DW14:EA14">
    <cfRule type="expression" dxfId="731" priority="1075" stopIfTrue="1">
      <formula>AND(DW$7&lt;&gt;"",VLOOKUP(DW$8,$NX$23:$NY$30,2,0)&lt;&gt;"Yes")</formula>
    </cfRule>
    <cfRule type="expression" dxfId="730" priority="1076" stopIfTrue="1">
      <formula>ISNUMBER(MATCH(DATE($B$4,$B$3+$B$5-1,DW$7),HolidayListNamedRange,0))</formula>
    </cfRule>
  </conditionalFormatting>
  <conditionalFormatting sqref="DW14:EA14">
    <cfRule type="expression" dxfId="729" priority="1072">
      <formula>AND(((COUNTIF(DW12:DW13,"O")+COUNTIF(DW12:DW13,"L")+COUNTIF(DW12:DW13,"H1")+COUNTIF(DW12:DW13,"H2")+COUNTIF(DW12:DW13,"OY")+COUNTIF(DW12:DW13,"M")+COUNTIF(DW12:DW13,"V")+COUNTIF(DW12:DW13,"P"))/2)&gt;=0,((COUNTIF(DW12:DW13,"O")+COUNTIF(DW12:DW13,"L")+COUNTIF(DW12:DW13,"H1")+COUNTIF(DW12:DW13,"H2")+COUNTIF(DW12:DW13,"OY")+COUNTIF(DW12:DW13,"M")+COUNTIF(DW12:DW13,"V")+COUNTIF(DW12:DW13,"P"))/2)&lt;=0.2)</formula>
    </cfRule>
    <cfRule type="expression" dxfId="728" priority="1073">
      <formula>AND(((COUNTIF(DW12:DW13,"O")+COUNTIF(DW12:DW13,"L")+COUNTIF(DW12:DW13,"H1")+COUNTIF(DW12:DW13,"H2")+COUNTIF(DW12:DW13,"OY")+COUNTIF(DW12:DW13,"M")+COUNTIF(DW12:DW13,"V")+COUNTIF(DW12:DW13,"P"))/2)&gt;0.2,((COUNTIF(DW12:DW13,"O")+COUNTIF(DW12:DW13,"L")+COUNTIF(DW12:DW13,"H1")+COUNTIF(DW12:DW13,"H2")+COUNTIF(DW12:DW13,"OY")+COUNTIF(DW12:DW13,"M")+COUNTIF(DW12:DW13,"V")+COUNTIF(DW12:DW13,"P"))/2)&lt;=0.4)</formula>
    </cfRule>
    <cfRule type="expression" dxfId="727" priority="1074">
      <formula>AND(((COUNTIF(DW12:DW13,"O")+COUNTIF(DW12:DW13,"L")+COUNTIF(DW12:DW13,"H1")+COUNTIF(DW12:DW13,"H2")+COUNTIF(DW12:DW13,"OY")+COUNTIF(DW12:DW13,"M")+COUNTIF(DW12:DW13,"V")+COUNTIF(DW12:DW13,"P"))/2)&gt;=0.4,((COUNTIF(DW12:DW13,"O")+COUNTIF(DW12:DW13,"L")+COUNTIF(DW12:DW13,"H1")+COUNTIF(DW12:DW13,"H2")+COUNTIF(DW12:DW13,"OY")+COUNTIF(DW12:DW13,"M")+COUNTIF(DW12:DW13,"V")+COUNTIF(DW12:DW13,"P"))/2)&lt;=1)</formula>
    </cfRule>
  </conditionalFormatting>
  <conditionalFormatting sqref="DW24:EA24">
    <cfRule type="expression" dxfId="726" priority="1070" stopIfTrue="1">
      <formula>AND(DW$7&lt;&gt;"",VLOOKUP(DW$8,$NX$23:$NY$30,2,0)&lt;&gt;"Yes")</formula>
    </cfRule>
    <cfRule type="expression" dxfId="725" priority="1071" stopIfTrue="1">
      <formula>ISNUMBER(MATCH(DATE($B$4,$B$3+$B$5-1,DW$7),HolidayListNamedRange,0))</formula>
    </cfRule>
  </conditionalFormatting>
  <conditionalFormatting sqref="DW24:EA24">
    <cfRule type="expression" dxfId="724" priority="1067">
      <formula>AND(((COUNTIF(DW16:DW23,"O")+COUNTIF(DW16:DW23,"L")+COUNTIF(DW16:DW23,"H1")+COUNTIF(DW16:DW23,"H2")+COUNTIF(DW16:DW23,"OY")+COUNTIF(DW16:DW23,"M")+COUNTIF(DW16:DW23,"V")+COUNTIF(DW16:DW23,"P"))/8)&gt;=0,((COUNTIF(DW16:DW23,"O")+COUNTIF(DW16:DW23,"L")+COUNTIF(DW16:DW23,"H1")+COUNTIF(DW16:DW23,"H2")+COUNTIF(DW16:DW23,"OY")+COUNTIF(DW16:DW23,"M")+COUNTIF(DW16:DW23,"V")+COUNTIF(DW16:DW23,"P"))/8)&lt;=0.2)</formula>
    </cfRule>
    <cfRule type="expression" dxfId="723" priority="1068">
      <formula>AND(((COUNTIF(DW16:DW23,"O")+COUNTIF(DW16:DW23,"L")+COUNTIF(DW16:DW23,"H1")+COUNTIF(DW16:DW23,"H2")+COUNTIF(DW16:DW23,"OY")+COUNTIF(DW16:DW23,"M")+COUNTIF(DW16:DW23,"V")+COUNTIF(DW16:DW23,"P"))/8)&gt;0.2,((COUNTIF(DW16:DW23,"O")+COUNTIF(DW16:DW23,"L")+COUNTIF(DW16:DW23,"H1")+COUNTIF(DW16:DW23,"H2")+COUNTIF(DW16:DW23,"OY")+COUNTIF(DW16:DW23,"M")+COUNTIF(DW16:DW23,"V")+COUNTIF(DW16:DW23,"P"))/8)&lt;=0.4)</formula>
    </cfRule>
    <cfRule type="expression" dxfId="722" priority="1069">
      <formula>AND(((COUNTIF(DW16:DW23,"O")+COUNTIF(DW16:DW23,"L")+COUNTIF(DW16:DW23,"H1")+COUNTIF(DW16:DW23,"H2")+COUNTIF(DW16:DW23,"OY")+COUNTIF(DW16:DW23,"M")+COUNTIF(DW16:DW23,"V")+COUNTIF(DW16:DW23,"P"))/8)&gt;=0.4,((COUNTIF(DW16:DW23,"O")+COUNTIF(DW16:DW23,"L")+COUNTIF(DW16:DW23,"H1")+COUNTIF(DW16:DW23,"H2")+COUNTIF(DW16:DW23,"OY")+COUNTIF(DW16:DW23,"M")+COUNTIF(DW16:DW23,"V")+COUNTIF(DW16:DW23,"P"))/8)&lt;=1)</formula>
    </cfRule>
  </conditionalFormatting>
  <conditionalFormatting sqref="ED10:EH13">
    <cfRule type="expression" dxfId="721" priority="1055" stopIfTrue="1">
      <formula>AND(ED$7&lt;&gt;"",VLOOKUP(ED$8,$NX$25:$NY$32,2,0)&lt;&gt;"Yes")</formula>
    </cfRule>
    <cfRule type="expression" dxfId="720" priority="1056" stopIfTrue="1">
      <formula>ISNUMBER(MATCH(DATE($B$4,$B$3+$B$5-1,ED$7),HolidayListNamedRange,0))</formula>
    </cfRule>
  </conditionalFormatting>
  <conditionalFormatting sqref="ED14:EH14">
    <cfRule type="expression" dxfId="719" priority="1053" stopIfTrue="1">
      <formula>AND(ED$7&lt;&gt;"",VLOOKUP(ED$8,$NX$23:$NY$30,2,0)&lt;&gt;"Yes")</formula>
    </cfRule>
    <cfRule type="expression" dxfId="718" priority="1054" stopIfTrue="1">
      <formula>ISNUMBER(MATCH(DATE($B$4,$B$3+$B$5-1,ED$7),HolidayListNamedRange,0))</formula>
    </cfRule>
  </conditionalFormatting>
  <conditionalFormatting sqref="ED14:EH14">
    <cfRule type="expression" dxfId="717" priority="1050">
      <formula>AND(((COUNTIF(ED12:ED13,"O")+COUNTIF(ED12:ED13,"L")+COUNTIF(ED12:ED13,"H1")+COUNTIF(ED12:ED13,"H2")+COUNTIF(ED12:ED13,"OY")+COUNTIF(ED12:ED13,"M")+COUNTIF(ED12:ED13,"V")+COUNTIF(ED12:ED13,"P"))/2)&gt;=0,((COUNTIF(ED12:ED13,"O")+COUNTIF(ED12:ED13,"L")+COUNTIF(ED12:ED13,"H1")+COUNTIF(ED12:ED13,"H2")+COUNTIF(ED12:ED13,"OY")+COUNTIF(ED12:ED13,"M")+COUNTIF(ED12:ED13,"V")+COUNTIF(ED12:ED13,"P"))/2)&lt;=0.2)</formula>
    </cfRule>
    <cfRule type="expression" dxfId="716" priority="1051">
      <formula>AND(((COUNTIF(ED12:ED13,"O")+COUNTIF(ED12:ED13,"L")+COUNTIF(ED12:ED13,"H1")+COUNTIF(ED12:ED13,"H2")+COUNTIF(ED12:ED13,"OY")+COUNTIF(ED12:ED13,"M")+COUNTIF(ED12:ED13,"V")+COUNTIF(ED12:ED13,"P"))/2)&gt;0.2,((COUNTIF(ED12:ED13,"O")+COUNTIF(ED12:ED13,"L")+COUNTIF(ED12:ED13,"H1")+COUNTIF(ED12:ED13,"H2")+COUNTIF(ED12:ED13,"OY")+COUNTIF(ED12:ED13,"M")+COUNTIF(ED12:ED13,"V")+COUNTIF(ED12:ED13,"P"))/2)&lt;=0.4)</formula>
    </cfRule>
    <cfRule type="expression" dxfId="715" priority="1052">
      <formula>AND(((COUNTIF(ED12:ED13,"O")+COUNTIF(ED12:ED13,"L")+COUNTIF(ED12:ED13,"H1")+COUNTIF(ED12:ED13,"H2")+COUNTIF(ED12:ED13,"OY")+COUNTIF(ED12:ED13,"M")+COUNTIF(ED12:ED13,"V")+COUNTIF(ED12:ED13,"P"))/2)&gt;=0.4,((COUNTIF(ED12:ED13,"O")+COUNTIF(ED12:ED13,"L")+COUNTIF(ED12:ED13,"H1")+COUNTIF(ED12:ED13,"H2")+COUNTIF(ED12:ED13,"OY")+COUNTIF(ED12:ED13,"M")+COUNTIF(ED12:ED13,"V")+COUNTIF(ED12:ED13,"P"))/2)&lt;=1)</formula>
    </cfRule>
  </conditionalFormatting>
  <conditionalFormatting sqref="ED24:EH24">
    <cfRule type="expression" dxfId="714" priority="1048" stopIfTrue="1">
      <formula>AND(ED$7&lt;&gt;"",VLOOKUP(ED$8,$NX$23:$NY$30,2,0)&lt;&gt;"Yes")</formula>
    </cfRule>
    <cfRule type="expression" dxfId="713" priority="1049" stopIfTrue="1">
      <formula>ISNUMBER(MATCH(DATE($B$4,$B$3+$B$5-1,ED$7),HolidayListNamedRange,0))</formula>
    </cfRule>
  </conditionalFormatting>
  <conditionalFormatting sqref="ED24:EH24">
    <cfRule type="expression" dxfId="712" priority="1045">
      <formula>AND(((COUNTIF(ED16:ED23,"O")+COUNTIF(ED16:ED23,"L")+COUNTIF(ED16:ED23,"H1")+COUNTIF(ED16:ED23,"H2")+COUNTIF(ED16:ED23,"OY")+COUNTIF(ED16:ED23,"M")+COUNTIF(ED16:ED23,"V")+COUNTIF(ED16:ED23,"P"))/8)&gt;=0,((COUNTIF(ED16:ED23,"O")+COUNTIF(ED16:ED23,"L")+COUNTIF(ED16:ED23,"H1")+COUNTIF(ED16:ED23,"H2")+COUNTIF(ED16:ED23,"OY")+COUNTIF(ED16:ED23,"M")+COUNTIF(ED16:ED23,"V")+COUNTIF(ED16:ED23,"P"))/8)&lt;=0.2)</formula>
    </cfRule>
    <cfRule type="expression" dxfId="711" priority="1046">
      <formula>AND(((COUNTIF(ED16:ED23,"O")+COUNTIF(ED16:ED23,"L")+COUNTIF(ED16:ED23,"H1")+COUNTIF(ED16:ED23,"H2")+COUNTIF(ED16:ED23,"OY")+COUNTIF(ED16:ED23,"M")+COUNTIF(ED16:ED23,"V")+COUNTIF(ED16:ED23,"P"))/8)&gt;0.2,((COUNTIF(ED16:ED23,"O")+COUNTIF(ED16:ED23,"L")+COUNTIF(ED16:ED23,"H1")+COUNTIF(ED16:ED23,"H2")+COUNTIF(ED16:ED23,"OY")+COUNTIF(ED16:ED23,"M")+COUNTIF(ED16:ED23,"V")+COUNTIF(ED16:ED23,"P"))/8)&lt;=0.4)</formula>
    </cfRule>
    <cfRule type="expression" dxfId="710" priority="1047">
      <formula>AND(((COUNTIF(ED16:ED23,"O")+COUNTIF(ED16:ED23,"L")+COUNTIF(ED16:ED23,"H1")+COUNTIF(ED16:ED23,"H2")+COUNTIF(ED16:ED23,"OY")+COUNTIF(ED16:ED23,"M")+COUNTIF(ED16:ED23,"V")+COUNTIF(ED16:ED23,"P"))/8)&gt;=0.4,((COUNTIF(ED16:ED23,"O")+COUNTIF(ED16:ED23,"L")+COUNTIF(ED16:ED23,"H1")+COUNTIF(ED16:ED23,"H2")+COUNTIF(ED16:ED23,"OY")+COUNTIF(ED16:ED23,"M")+COUNTIF(ED16:ED23,"V")+COUNTIF(ED16:ED23,"P"))/8)&lt;=1)</formula>
    </cfRule>
  </conditionalFormatting>
  <conditionalFormatting sqref="EK10:EO13">
    <cfRule type="expression" dxfId="709" priority="1033" stopIfTrue="1">
      <formula>AND(EK$7&lt;&gt;"",VLOOKUP(EK$8,$NX$25:$NY$32,2,0)&lt;&gt;"Yes")</formula>
    </cfRule>
    <cfRule type="expression" dxfId="708" priority="1034" stopIfTrue="1">
      <formula>ISNUMBER(MATCH(DATE($B$4,$B$3+$B$5-1,EK$7),HolidayListNamedRange,0))</formula>
    </cfRule>
  </conditionalFormatting>
  <conditionalFormatting sqref="EK14:EO14">
    <cfRule type="expression" dxfId="707" priority="1031" stopIfTrue="1">
      <formula>AND(EK$7&lt;&gt;"",VLOOKUP(EK$8,$NX$23:$NY$30,2,0)&lt;&gt;"Yes")</formula>
    </cfRule>
    <cfRule type="expression" dxfId="706" priority="1032" stopIfTrue="1">
      <formula>ISNUMBER(MATCH(DATE($B$4,$B$3+$B$5-1,EK$7),HolidayListNamedRange,0))</formula>
    </cfRule>
  </conditionalFormatting>
  <conditionalFormatting sqref="EK14:EO14">
    <cfRule type="expression" dxfId="705" priority="1028">
      <formula>AND(((COUNTIF(EK12:EK13,"O")+COUNTIF(EK12:EK13,"L")+COUNTIF(EK12:EK13,"H1")+COUNTIF(EK12:EK13,"H2")+COUNTIF(EK12:EK13,"OY")+COUNTIF(EK12:EK13,"M")+COUNTIF(EK12:EK13,"V")+COUNTIF(EK12:EK13,"P"))/2)&gt;=0,((COUNTIF(EK12:EK13,"O")+COUNTIF(EK12:EK13,"L")+COUNTIF(EK12:EK13,"H1")+COUNTIF(EK12:EK13,"H2")+COUNTIF(EK12:EK13,"OY")+COUNTIF(EK12:EK13,"M")+COUNTIF(EK12:EK13,"V")+COUNTIF(EK12:EK13,"P"))/2)&lt;=0.2)</formula>
    </cfRule>
    <cfRule type="expression" dxfId="704" priority="1029">
      <formula>AND(((COUNTIF(EK12:EK13,"O")+COUNTIF(EK12:EK13,"L")+COUNTIF(EK12:EK13,"H1")+COUNTIF(EK12:EK13,"H2")+COUNTIF(EK12:EK13,"OY")+COUNTIF(EK12:EK13,"M")+COUNTIF(EK12:EK13,"V")+COUNTIF(EK12:EK13,"P"))/2)&gt;0.2,((COUNTIF(EK12:EK13,"O")+COUNTIF(EK12:EK13,"L")+COUNTIF(EK12:EK13,"H1")+COUNTIF(EK12:EK13,"H2")+COUNTIF(EK12:EK13,"OY")+COUNTIF(EK12:EK13,"M")+COUNTIF(EK12:EK13,"V")+COUNTIF(EK12:EK13,"P"))/2)&lt;=0.4)</formula>
    </cfRule>
    <cfRule type="expression" dxfId="703" priority="1030">
      <formula>AND(((COUNTIF(EK12:EK13,"O")+COUNTIF(EK12:EK13,"L")+COUNTIF(EK12:EK13,"H1")+COUNTIF(EK12:EK13,"H2")+COUNTIF(EK12:EK13,"OY")+COUNTIF(EK12:EK13,"M")+COUNTIF(EK12:EK13,"V")+COUNTIF(EK12:EK13,"P"))/2)&gt;=0.4,((COUNTIF(EK12:EK13,"O")+COUNTIF(EK12:EK13,"L")+COUNTIF(EK12:EK13,"H1")+COUNTIF(EK12:EK13,"H2")+COUNTIF(EK12:EK13,"OY")+COUNTIF(EK12:EK13,"M")+COUNTIF(EK12:EK13,"V")+COUNTIF(EK12:EK13,"P"))/2)&lt;=1)</formula>
    </cfRule>
  </conditionalFormatting>
  <conditionalFormatting sqref="EK24:EO24">
    <cfRule type="expression" dxfId="702" priority="1026" stopIfTrue="1">
      <formula>AND(EK$7&lt;&gt;"",VLOOKUP(EK$8,$NX$23:$NY$30,2,0)&lt;&gt;"Yes")</formula>
    </cfRule>
    <cfRule type="expression" dxfId="701" priority="1027" stopIfTrue="1">
      <formula>ISNUMBER(MATCH(DATE($B$4,$B$3+$B$5-1,EK$7),HolidayListNamedRange,0))</formula>
    </cfRule>
  </conditionalFormatting>
  <conditionalFormatting sqref="EK24:EO24">
    <cfRule type="expression" dxfId="700" priority="1023">
      <formula>AND(((COUNTIF(EK16:EK23,"O")+COUNTIF(EK16:EK23,"L")+COUNTIF(EK16:EK23,"H1")+COUNTIF(EK16:EK23,"H2")+COUNTIF(EK16:EK23,"OY")+COUNTIF(EK16:EK23,"M")+COUNTIF(EK16:EK23,"V")+COUNTIF(EK16:EK23,"P"))/8)&gt;=0,((COUNTIF(EK16:EK23,"O")+COUNTIF(EK16:EK23,"L")+COUNTIF(EK16:EK23,"H1")+COUNTIF(EK16:EK23,"H2")+COUNTIF(EK16:EK23,"OY")+COUNTIF(EK16:EK23,"M")+COUNTIF(EK16:EK23,"V")+COUNTIF(EK16:EK23,"P"))/8)&lt;=0.2)</formula>
    </cfRule>
    <cfRule type="expression" dxfId="699" priority="1024">
      <formula>AND(((COUNTIF(EK16:EK23,"O")+COUNTIF(EK16:EK23,"L")+COUNTIF(EK16:EK23,"H1")+COUNTIF(EK16:EK23,"H2")+COUNTIF(EK16:EK23,"OY")+COUNTIF(EK16:EK23,"M")+COUNTIF(EK16:EK23,"V")+COUNTIF(EK16:EK23,"P"))/8)&gt;0.2,((COUNTIF(EK16:EK23,"O")+COUNTIF(EK16:EK23,"L")+COUNTIF(EK16:EK23,"H1")+COUNTIF(EK16:EK23,"H2")+COUNTIF(EK16:EK23,"OY")+COUNTIF(EK16:EK23,"M")+COUNTIF(EK16:EK23,"V")+COUNTIF(EK16:EK23,"P"))/8)&lt;=0.4)</formula>
    </cfRule>
    <cfRule type="expression" dxfId="698" priority="1025">
      <formula>AND(((COUNTIF(EK16:EK23,"O")+COUNTIF(EK16:EK23,"L")+COUNTIF(EK16:EK23,"H1")+COUNTIF(EK16:EK23,"H2")+COUNTIF(EK16:EK23,"OY")+COUNTIF(EK16:EK23,"M")+COUNTIF(EK16:EK23,"V")+COUNTIF(EK16:EK23,"P"))/8)&gt;=0.4,((COUNTIF(EK16:EK23,"O")+COUNTIF(EK16:EK23,"L")+COUNTIF(EK16:EK23,"H1")+COUNTIF(EK16:EK23,"H2")+COUNTIF(EK16:EK23,"OY")+COUNTIF(EK16:EK23,"M")+COUNTIF(EK16:EK23,"V")+COUNTIF(EK16:EK23,"P"))/8)&lt;=1)</formula>
    </cfRule>
  </conditionalFormatting>
  <conditionalFormatting sqref="ER10:EV13">
    <cfRule type="expression" dxfId="697" priority="1011" stopIfTrue="1">
      <formula>AND(ER$7&lt;&gt;"",VLOOKUP(ER$8,$NX$25:$NY$32,2,0)&lt;&gt;"Yes")</formula>
    </cfRule>
    <cfRule type="expression" dxfId="696" priority="1012" stopIfTrue="1">
      <formula>ISNUMBER(MATCH(DATE($B$4,$B$3+$B$5-1,ER$7),HolidayListNamedRange,0))</formula>
    </cfRule>
  </conditionalFormatting>
  <conditionalFormatting sqref="ER14:EV14">
    <cfRule type="expression" dxfId="695" priority="1009" stopIfTrue="1">
      <formula>AND(ER$7&lt;&gt;"",VLOOKUP(ER$8,$NX$23:$NY$30,2,0)&lt;&gt;"Yes")</formula>
    </cfRule>
    <cfRule type="expression" dxfId="694" priority="1010" stopIfTrue="1">
      <formula>ISNUMBER(MATCH(DATE($B$4,$B$3+$B$5-1,ER$7),HolidayListNamedRange,0))</formula>
    </cfRule>
  </conditionalFormatting>
  <conditionalFormatting sqref="ER14:EV14">
    <cfRule type="expression" dxfId="693" priority="1006">
      <formula>AND(((COUNTIF(ER12:ER13,"O")+COUNTIF(ER12:ER13,"L")+COUNTIF(ER12:ER13,"H1")+COUNTIF(ER12:ER13,"H2")+COUNTIF(ER12:ER13,"OY")+COUNTIF(ER12:ER13,"M")+COUNTIF(ER12:ER13,"V")+COUNTIF(ER12:ER13,"P"))/2)&gt;=0,((COUNTIF(ER12:ER13,"O")+COUNTIF(ER12:ER13,"L")+COUNTIF(ER12:ER13,"H1")+COUNTIF(ER12:ER13,"H2")+COUNTIF(ER12:ER13,"OY")+COUNTIF(ER12:ER13,"M")+COUNTIF(ER12:ER13,"V")+COUNTIF(ER12:ER13,"P"))/2)&lt;=0.2)</formula>
    </cfRule>
    <cfRule type="expression" dxfId="692" priority="1007">
      <formula>AND(((COUNTIF(ER12:ER13,"O")+COUNTIF(ER12:ER13,"L")+COUNTIF(ER12:ER13,"H1")+COUNTIF(ER12:ER13,"H2")+COUNTIF(ER12:ER13,"OY")+COUNTIF(ER12:ER13,"M")+COUNTIF(ER12:ER13,"V")+COUNTIF(ER12:ER13,"P"))/2)&gt;0.2,((COUNTIF(ER12:ER13,"O")+COUNTIF(ER12:ER13,"L")+COUNTIF(ER12:ER13,"H1")+COUNTIF(ER12:ER13,"H2")+COUNTIF(ER12:ER13,"OY")+COUNTIF(ER12:ER13,"M")+COUNTIF(ER12:ER13,"V")+COUNTIF(ER12:ER13,"P"))/2)&lt;=0.4)</formula>
    </cfRule>
    <cfRule type="expression" dxfId="691" priority="1008">
      <formula>AND(((COUNTIF(ER12:ER13,"O")+COUNTIF(ER12:ER13,"L")+COUNTIF(ER12:ER13,"H1")+COUNTIF(ER12:ER13,"H2")+COUNTIF(ER12:ER13,"OY")+COUNTIF(ER12:ER13,"M")+COUNTIF(ER12:ER13,"V")+COUNTIF(ER12:ER13,"P"))/2)&gt;=0.4,((COUNTIF(ER12:ER13,"O")+COUNTIF(ER12:ER13,"L")+COUNTIF(ER12:ER13,"H1")+COUNTIF(ER12:ER13,"H2")+COUNTIF(ER12:ER13,"OY")+COUNTIF(ER12:ER13,"M")+COUNTIF(ER12:ER13,"V")+COUNTIF(ER12:ER13,"P"))/2)&lt;=1)</formula>
    </cfRule>
  </conditionalFormatting>
  <conditionalFormatting sqref="ER24:EV24">
    <cfRule type="expression" dxfId="690" priority="1004" stopIfTrue="1">
      <formula>AND(ER$7&lt;&gt;"",VLOOKUP(ER$8,$NX$23:$NY$30,2,0)&lt;&gt;"Yes")</formula>
    </cfRule>
    <cfRule type="expression" dxfId="689" priority="1005" stopIfTrue="1">
      <formula>ISNUMBER(MATCH(DATE($B$4,$B$3+$B$5-1,ER$7),HolidayListNamedRange,0))</formula>
    </cfRule>
  </conditionalFormatting>
  <conditionalFormatting sqref="ER24:EV24">
    <cfRule type="expression" dxfId="688" priority="1001">
      <formula>AND(((COUNTIF(ER16:ER23,"O")+COUNTIF(ER16:ER23,"L")+COUNTIF(ER16:ER23,"H1")+COUNTIF(ER16:ER23,"H2")+COUNTIF(ER16:ER23,"OY")+COUNTIF(ER16:ER23,"M")+COUNTIF(ER16:ER23,"V")+COUNTIF(ER16:ER23,"P"))/8)&gt;=0,((COUNTIF(ER16:ER23,"O")+COUNTIF(ER16:ER23,"L")+COUNTIF(ER16:ER23,"H1")+COUNTIF(ER16:ER23,"H2")+COUNTIF(ER16:ER23,"OY")+COUNTIF(ER16:ER23,"M")+COUNTIF(ER16:ER23,"V")+COUNTIF(ER16:ER23,"P"))/8)&lt;=0.2)</formula>
    </cfRule>
    <cfRule type="expression" dxfId="687" priority="1002">
      <formula>AND(((COUNTIF(ER16:ER23,"O")+COUNTIF(ER16:ER23,"L")+COUNTIF(ER16:ER23,"H1")+COUNTIF(ER16:ER23,"H2")+COUNTIF(ER16:ER23,"OY")+COUNTIF(ER16:ER23,"M")+COUNTIF(ER16:ER23,"V")+COUNTIF(ER16:ER23,"P"))/8)&gt;0.2,((COUNTIF(ER16:ER23,"O")+COUNTIF(ER16:ER23,"L")+COUNTIF(ER16:ER23,"H1")+COUNTIF(ER16:ER23,"H2")+COUNTIF(ER16:ER23,"OY")+COUNTIF(ER16:ER23,"M")+COUNTIF(ER16:ER23,"V")+COUNTIF(ER16:ER23,"P"))/8)&lt;=0.4)</formula>
    </cfRule>
    <cfRule type="expression" dxfId="686" priority="1003">
      <formula>AND(((COUNTIF(ER16:ER23,"O")+COUNTIF(ER16:ER23,"L")+COUNTIF(ER16:ER23,"H1")+COUNTIF(ER16:ER23,"H2")+COUNTIF(ER16:ER23,"OY")+COUNTIF(ER16:ER23,"M")+COUNTIF(ER16:ER23,"V")+COUNTIF(ER16:ER23,"P"))/8)&gt;=0.4,((COUNTIF(ER16:ER23,"O")+COUNTIF(ER16:ER23,"L")+COUNTIF(ER16:ER23,"H1")+COUNTIF(ER16:ER23,"H2")+COUNTIF(ER16:ER23,"OY")+COUNTIF(ER16:ER23,"M")+COUNTIF(ER16:ER23,"V")+COUNTIF(ER16:ER23,"P"))/8)&lt;=1)</formula>
    </cfRule>
  </conditionalFormatting>
  <conditionalFormatting sqref="EY10:EZ13">
    <cfRule type="expression" dxfId="685" priority="989" stopIfTrue="1">
      <formula>AND(EY$7&lt;&gt;"",VLOOKUP(EY$8,$NX$25:$NY$32,2,0)&lt;&gt;"Yes")</formula>
    </cfRule>
    <cfRule type="expression" dxfId="684" priority="990" stopIfTrue="1">
      <formula>ISNUMBER(MATCH(DATE($B$4,$B$3+$B$5-1,EY$7),HolidayListNamedRange,0))</formula>
    </cfRule>
  </conditionalFormatting>
  <conditionalFormatting sqref="EY14:EZ14">
    <cfRule type="expression" dxfId="683" priority="987" stopIfTrue="1">
      <formula>AND(EY$7&lt;&gt;"",VLOOKUP(EY$8,$NX$23:$NY$30,2,0)&lt;&gt;"Yes")</formula>
    </cfRule>
    <cfRule type="expression" dxfId="682" priority="988" stopIfTrue="1">
      <formula>ISNUMBER(MATCH(DATE($B$4,$B$3+$B$5-1,EY$7),HolidayListNamedRange,0))</formula>
    </cfRule>
  </conditionalFormatting>
  <conditionalFormatting sqref="EY14:EZ14">
    <cfRule type="expression" dxfId="681" priority="984">
      <formula>AND(((COUNTIF(EY12:EY13,"O")+COUNTIF(EY12:EY13,"L")+COUNTIF(EY12:EY13,"H1")+COUNTIF(EY12:EY13,"H2")+COUNTIF(EY12:EY13,"OY")+COUNTIF(EY12:EY13,"M")+COUNTIF(EY12:EY13,"V")+COUNTIF(EY12:EY13,"P"))/2)&gt;=0,((COUNTIF(EY12:EY13,"O")+COUNTIF(EY12:EY13,"L")+COUNTIF(EY12:EY13,"H1")+COUNTIF(EY12:EY13,"H2")+COUNTIF(EY12:EY13,"OY")+COUNTIF(EY12:EY13,"M")+COUNTIF(EY12:EY13,"V")+COUNTIF(EY12:EY13,"P"))/2)&lt;=0.2)</formula>
    </cfRule>
    <cfRule type="expression" dxfId="680" priority="985">
      <formula>AND(((COUNTIF(EY12:EY13,"O")+COUNTIF(EY12:EY13,"L")+COUNTIF(EY12:EY13,"H1")+COUNTIF(EY12:EY13,"H2")+COUNTIF(EY12:EY13,"OY")+COUNTIF(EY12:EY13,"M")+COUNTIF(EY12:EY13,"V")+COUNTIF(EY12:EY13,"P"))/2)&gt;0.2,((COUNTIF(EY12:EY13,"O")+COUNTIF(EY12:EY13,"L")+COUNTIF(EY12:EY13,"H1")+COUNTIF(EY12:EY13,"H2")+COUNTIF(EY12:EY13,"OY")+COUNTIF(EY12:EY13,"M")+COUNTIF(EY12:EY13,"V")+COUNTIF(EY12:EY13,"P"))/2)&lt;=0.4)</formula>
    </cfRule>
    <cfRule type="expression" dxfId="679" priority="986">
      <formula>AND(((COUNTIF(EY12:EY13,"O")+COUNTIF(EY12:EY13,"L")+COUNTIF(EY12:EY13,"H1")+COUNTIF(EY12:EY13,"H2")+COUNTIF(EY12:EY13,"OY")+COUNTIF(EY12:EY13,"M")+COUNTIF(EY12:EY13,"V")+COUNTIF(EY12:EY13,"P"))/2)&gt;=0.4,((COUNTIF(EY12:EY13,"O")+COUNTIF(EY12:EY13,"L")+COUNTIF(EY12:EY13,"H1")+COUNTIF(EY12:EY13,"H2")+COUNTIF(EY12:EY13,"OY")+COUNTIF(EY12:EY13,"M")+COUNTIF(EY12:EY13,"V")+COUNTIF(EY12:EY13,"P"))/2)&lt;=1)</formula>
    </cfRule>
  </conditionalFormatting>
  <conditionalFormatting sqref="EY24:EZ24">
    <cfRule type="expression" dxfId="678" priority="982" stopIfTrue="1">
      <formula>AND(EY$7&lt;&gt;"",VLOOKUP(EY$8,$NX$23:$NY$30,2,0)&lt;&gt;"Yes")</formula>
    </cfRule>
    <cfRule type="expression" dxfId="677" priority="983" stopIfTrue="1">
      <formula>ISNUMBER(MATCH(DATE($B$4,$B$3+$B$5-1,EY$7),HolidayListNamedRange,0))</formula>
    </cfRule>
  </conditionalFormatting>
  <conditionalFormatting sqref="EY24:EZ24">
    <cfRule type="expression" dxfId="676" priority="979">
      <formula>AND(((COUNTIF(EY16:EY23,"O")+COUNTIF(EY16:EY23,"L")+COUNTIF(EY16:EY23,"H1")+COUNTIF(EY16:EY23,"H2")+COUNTIF(EY16:EY23,"OY")+COUNTIF(EY16:EY23,"M")+COUNTIF(EY16:EY23,"V")+COUNTIF(EY16:EY23,"P"))/8)&gt;=0,((COUNTIF(EY16:EY23,"O")+COUNTIF(EY16:EY23,"L")+COUNTIF(EY16:EY23,"H1")+COUNTIF(EY16:EY23,"H2")+COUNTIF(EY16:EY23,"OY")+COUNTIF(EY16:EY23,"M")+COUNTIF(EY16:EY23,"V")+COUNTIF(EY16:EY23,"P"))/8)&lt;=0.2)</formula>
    </cfRule>
    <cfRule type="expression" dxfId="675" priority="980">
      <formula>AND(((COUNTIF(EY16:EY23,"O")+COUNTIF(EY16:EY23,"L")+COUNTIF(EY16:EY23,"H1")+COUNTIF(EY16:EY23,"H2")+COUNTIF(EY16:EY23,"OY")+COUNTIF(EY16:EY23,"M")+COUNTIF(EY16:EY23,"V")+COUNTIF(EY16:EY23,"P"))/8)&gt;0.2,((COUNTIF(EY16:EY23,"O")+COUNTIF(EY16:EY23,"L")+COUNTIF(EY16:EY23,"H1")+COUNTIF(EY16:EY23,"H2")+COUNTIF(EY16:EY23,"OY")+COUNTIF(EY16:EY23,"M")+COUNTIF(EY16:EY23,"V")+COUNTIF(EY16:EY23,"P"))/8)&lt;=0.4)</formula>
    </cfRule>
    <cfRule type="expression" dxfId="674" priority="981">
      <formula>AND(((COUNTIF(EY16:EY23,"O")+COUNTIF(EY16:EY23,"L")+COUNTIF(EY16:EY23,"H1")+COUNTIF(EY16:EY23,"H2")+COUNTIF(EY16:EY23,"OY")+COUNTIF(EY16:EY23,"M")+COUNTIF(EY16:EY23,"V")+COUNTIF(EY16:EY23,"P"))/8)&gt;=0.4,((COUNTIF(EY16:EY23,"O")+COUNTIF(EY16:EY23,"L")+COUNTIF(EY16:EY23,"H1")+COUNTIF(EY16:EY23,"H2")+COUNTIF(EY16:EY23,"OY")+COUNTIF(EY16:EY23,"M")+COUNTIF(EY16:EY23,"V")+COUNTIF(EY16:EY23,"P"))/8)&lt;=1)</formula>
    </cfRule>
  </conditionalFormatting>
  <conditionalFormatting sqref="FA10:FC13">
    <cfRule type="expression" dxfId="673" priority="967" stopIfTrue="1">
      <formula>AND(FA$7&lt;&gt;"",VLOOKUP(FA$8,$NX$25:$NY$32,2,0)&lt;&gt;"Yes")</formula>
    </cfRule>
    <cfRule type="expression" dxfId="672" priority="968" stopIfTrue="1">
      <formula>ISNUMBER(MATCH(DATE($B$4,$B$3+$B$5-1,FA$7),HolidayListNamedRange,0))</formula>
    </cfRule>
  </conditionalFormatting>
  <conditionalFormatting sqref="FA14:FC14">
    <cfRule type="expression" dxfId="671" priority="965" stopIfTrue="1">
      <formula>AND(FA$7&lt;&gt;"",VLOOKUP(FA$8,$NX$23:$NY$30,2,0)&lt;&gt;"Yes")</formula>
    </cfRule>
    <cfRule type="expression" dxfId="670" priority="966" stopIfTrue="1">
      <formula>ISNUMBER(MATCH(DATE($B$4,$B$3+$B$5-1,FA$7),HolidayListNamedRange,0))</formula>
    </cfRule>
  </conditionalFormatting>
  <conditionalFormatting sqref="FA14:FC14">
    <cfRule type="expression" dxfId="669" priority="962">
      <formula>AND(((COUNTIF(FA12:FA13,"O")+COUNTIF(FA12:FA13,"L")+COUNTIF(FA12:FA13,"H1")+COUNTIF(FA12:FA13,"H2")+COUNTIF(FA12:FA13,"OY")+COUNTIF(FA12:FA13,"M")+COUNTIF(FA12:FA13,"V")+COUNTIF(FA12:FA13,"P"))/2)&gt;=0,((COUNTIF(FA12:FA13,"O")+COUNTIF(FA12:FA13,"L")+COUNTIF(FA12:FA13,"H1")+COUNTIF(FA12:FA13,"H2")+COUNTIF(FA12:FA13,"OY")+COUNTIF(FA12:FA13,"M")+COUNTIF(FA12:FA13,"V")+COUNTIF(FA12:FA13,"P"))/2)&lt;=0.2)</formula>
    </cfRule>
    <cfRule type="expression" dxfId="668" priority="963">
      <formula>AND(((COUNTIF(FA12:FA13,"O")+COUNTIF(FA12:FA13,"L")+COUNTIF(FA12:FA13,"H1")+COUNTIF(FA12:FA13,"H2")+COUNTIF(FA12:FA13,"OY")+COUNTIF(FA12:FA13,"M")+COUNTIF(FA12:FA13,"V")+COUNTIF(FA12:FA13,"P"))/2)&gt;0.2,((COUNTIF(FA12:FA13,"O")+COUNTIF(FA12:FA13,"L")+COUNTIF(FA12:FA13,"H1")+COUNTIF(FA12:FA13,"H2")+COUNTIF(FA12:FA13,"OY")+COUNTIF(FA12:FA13,"M")+COUNTIF(FA12:FA13,"V")+COUNTIF(FA12:FA13,"P"))/2)&lt;=0.4)</formula>
    </cfRule>
    <cfRule type="expression" dxfId="667" priority="964">
      <formula>AND(((COUNTIF(FA12:FA13,"O")+COUNTIF(FA12:FA13,"L")+COUNTIF(FA12:FA13,"H1")+COUNTIF(FA12:FA13,"H2")+COUNTIF(FA12:FA13,"OY")+COUNTIF(FA12:FA13,"M")+COUNTIF(FA12:FA13,"V")+COUNTIF(FA12:FA13,"P"))/2)&gt;=0.4,((COUNTIF(FA12:FA13,"O")+COUNTIF(FA12:FA13,"L")+COUNTIF(FA12:FA13,"H1")+COUNTIF(FA12:FA13,"H2")+COUNTIF(FA12:FA13,"OY")+COUNTIF(FA12:FA13,"M")+COUNTIF(FA12:FA13,"V")+COUNTIF(FA12:FA13,"P"))/2)&lt;=1)</formula>
    </cfRule>
  </conditionalFormatting>
  <conditionalFormatting sqref="FA24:FC24">
    <cfRule type="expression" dxfId="666" priority="960" stopIfTrue="1">
      <formula>AND(FA$7&lt;&gt;"",VLOOKUP(FA$8,$NX$23:$NY$30,2,0)&lt;&gt;"Yes")</formula>
    </cfRule>
    <cfRule type="expression" dxfId="665" priority="961" stopIfTrue="1">
      <formula>ISNUMBER(MATCH(DATE($B$4,$B$3+$B$5-1,FA$7),HolidayListNamedRange,0))</formula>
    </cfRule>
  </conditionalFormatting>
  <conditionalFormatting sqref="FA24:FC24">
    <cfRule type="expression" dxfId="664" priority="957">
      <formula>AND(((COUNTIF(FA16:FA23,"O")+COUNTIF(FA16:FA23,"L")+COUNTIF(FA16:FA23,"H1")+COUNTIF(FA16:FA23,"H2")+COUNTIF(FA16:FA23,"OY")+COUNTIF(FA16:FA23,"M")+COUNTIF(FA16:FA23,"V")+COUNTIF(FA16:FA23,"P"))/8)&gt;=0,((COUNTIF(FA16:FA23,"O")+COUNTIF(FA16:FA23,"L")+COUNTIF(FA16:FA23,"H1")+COUNTIF(FA16:FA23,"H2")+COUNTIF(FA16:FA23,"OY")+COUNTIF(FA16:FA23,"M")+COUNTIF(FA16:FA23,"V")+COUNTIF(FA16:FA23,"P"))/8)&lt;=0.2)</formula>
    </cfRule>
    <cfRule type="expression" dxfId="663" priority="958">
      <formula>AND(((COUNTIF(FA16:FA23,"O")+COUNTIF(FA16:FA23,"L")+COUNTIF(FA16:FA23,"H1")+COUNTIF(FA16:FA23,"H2")+COUNTIF(FA16:FA23,"OY")+COUNTIF(FA16:FA23,"M")+COUNTIF(FA16:FA23,"V")+COUNTIF(FA16:FA23,"P"))/8)&gt;0.2,((COUNTIF(FA16:FA23,"O")+COUNTIF(FA16:FA23,"L")+COUNTIF(FA16:FA23,"H1")+COUNTIF(FA16:FA23,"H2")+COUNTIF(FA16:FA23,"OY")+COUNTIF(FA16:FA23,"M")+COUNTIF(FA16:FA23,"V")+COUNTIF(FA16:FA23,"P"))/8)&lt;=0.4)</formula>
    </cfRule>
    <cfRule type="expression" dxfId="662" priority="959">
      <formula>AND(((COUNTIF(FA16:FA23,"O")+COUNTIF(FA16:FA23,"L")+COUNTIF(FA16:FA23,"H1")+COUNTIF(FA16:FA23,"H2")+COUNTIF(FA16:FA23,"OY")+COUNTIF(FA16:FA23,"M")+COUNTIF(FA16:FA23,"V")+COUNTIF(FA16:FA23,"P"))/8)&gt;=0.4,((COUNTIF(FA16:FA23,"O")+COUNTIF(FA16:FA23,"L")+COUNTIF(FA16:FA23,"H1")+COUNTIF(FA16:FA23,"H2")+COUNTIF(FA16:FA23,"OY")+COUNTIF(FA16:FA23,"M")+COUNTIF(FA16:FA23,"V")+COUNTIF(FA16:FA23,"P"))/8)&lt;=1)</formula>
    </cfRule>
  </conditionalFormatting>
  <conditionalFormatting sqref="FF10:FJ13">
    <cfRule type="expression" dxfId="661" priority="945" stopIfTrue="1">
      <formula>AND(FF$7&lt;&gt;"",VLOOKUP(FF$8,$NX$25:$NY$32,2,0)&lt;&gt;"Yes")</formula>
    </cfRule>
    <cfRule type="expression" dxfId="660" priority="946" stopIfTrue="1">
      <formula>ISNUMBER(MATCH(DATE($B$4,$B$3+$B$5-1,FF$7),HolidayListNamedRange,0))</formula>
    </cfRule>
  </conditionalFormatting>
  <conditionalFormatting sqref="FF14:FJ14">
    <cfRule type="expression" dxfId="659" priority="943" stopIfTrue="1">
      <formula>AND(FF$7&lt;&gt;"",VLOOKUP(FF$8,$NX$23:$NY$30,2,0)&lt;&gt;"Yes")</formula>
    </cfRule>
    <cfRule type="expression" dxfId="658" priority="944" stopIfTrue="1">
      <formula>ISNUMBER(MATCH(DATE($B$4,$B$3+$B$5-1,FF$7),HolidayListNamedRange,0))</formula>
    </cfRule>
  </conditionalFormatting>
  <conditionalFormatting sqref="FF14:FJ14">
    <cfRule type="expression" dxfId="657" priority="940">
      <formula>AND(((COUNTIF(FF12:FF13,"O")+COUNTIF(FF12:FF13,"L")+COUNTIF(FF12:FF13,"H1")+COUNTIF(FF12:FF13,"H2")+COUNTIF(FF12:FF13,"OY")+COUNTIF(FF12:FF13,"M")+COUNTIF(FF12:FF13,"V")+COUNTIF(FF12:FF13,"P"))/2)&gt;=0,((COUNTIF(FF12:FF13,"O")+COUNTIF(FF12:FF13,"L")+COUNTIF(FF12:FF13,"H1")+COUNTIF(FF12:FF13,"H2")+COUNTIF(FF12:FF13,"OY")+COUNTIF(FF12:FF13,"M")+COUNTIF(FF12:FF13,"V")+COUNTIF(FF12:FF13,"P"))/2)&lt;=0.2)</formula>
    </cfRule>
    <cfRule type="expression" dxfId="656" priority="941">
      <formula>AND(((COUNTIF(FF12:FF13,"O")+COUNTIF(FF12:FF13,"L")+COUNTIF(FF12:FF13,"H1")+COUNTIF(FF12:FF13,"H2")+COUNTIF(FF12:FF13,"OY")+COUNTIF(FF12:FF13,"M")+COUNTIF(FF12:FF13,"V")+COUNTIF(FF12:FF13,"P"))/2)&gt;0.2,((COUNTIF(FF12:FF13,"O")+COUNTIF(FF12:FF13,"L")+COUNTIF(FF12:FF13,"H1")+COUNTIF(FF12:FF13,"H2")+COUNTIF(FF12:FF13,"OY")+COUNTIF(FF12:FF13,"M")+COUNTIF(FF12:FF13,"V")+COUNTIF(FF12:FF13,"P"))/2)&lt;=0.4)</formula>
    </cfRule>
    <cfRule type="expression" dxfId="655" priority="942">
      <formula>AND(((COUNTIF(FF12:FF13,"O")+COUNTIF(FF12:FF13,"L")+COUNTIF(FF12:FF13,"H1")+COUNTIF(FF12:FF13,"H2")+COUNTIF(FF12:FF13,"OY")+COUNTIF(FF12:FF13,"M")+COUNTIF(FF12:FF13,"V")+COUNTIF(FF12:FF13,"P"))/2)&gt;=0.4,((COUNTIF(FF12:FF13,"O")+COUNTIF(FF12:FF13,"L")+COUNTIF(FF12:FF13,"H1")+COUNTIF(FF12:FF13,"H2")+COUNTIF(FF12:FF13,"OY")+COUNTIF(FF12:FF13,"M")+COUNTIF(FF12:FF13,"V")+COUNTIF(FF12:FF13,"P"))/2)&lt;=1)</formula>
    </cfRule>
  </conditionalFormatting>
  <conditionalFormatting sqref="FF24:FJ24">
    <cfRule type="expression" dxfId="654" priority="938" stopIfTrue="1">
      <formula>AND(FF$7&lt;&gt;"",VLOOKUP(FF$8,$NX$23:$NY$30,2,0)&lt;&gt;"Yes")</formula>
    </cfRule>
    <cfRule type="expression" dxfId="653" priority="939" stopIfTrue="1">
      <formula>ISNUMBER(MATCH(DATE($B$4,$B$3+$B$5-1,FF$7),HolidayListNamedRange,0))</formula>
    </cfRule>
  </conditionalFormatting>
  <conditionalFormatting sqref="FF24:FJ24">
    <cfRule type="expression" dxfId="652" priority="935">
      <formula>AND(((COUNTIF(FF16:FF23,"O")+COUNTIF(FF16:FF23,"L")+COUNTIF(FF16:FF23,"H1")+COUNTIF(FF16:FF23,"H2")+COUNTIF(FF16:FF23,"OY")+COUNTIF(FF16:FF23,"M")+COUNTIF(FF16:FF23,"V")+COUNTIF(FF16:FF23,"P"))/8)&gt;=0,((COUNTIF(FF16:FF23,"O")+COUNTIF(FF16:FF23,"L")+COUNTIF(FF16:FF23,"H1")+COUNTIF(FF16:FF23,"H2")+COUNTIF(FF16:FF23,"OY")+COUNTIF(FF16:FF23,"M")+COUNTIF(FF16:FF23,"V")+COUNTIF(FF16:FF23,"P"))/8)&lt;=0.2)</formula>
    </cfRule>
    <cfRule type="expression" dxfId="651" priority="936">
      <formula>AND(((COUNTIF(FF16:FF23,"O")+COUNTIF(FF16:FF23,"L")+COUNTIF(FF16:FF23,"H1")+COUNTIF(FF16:FF23,"H2")+COUNTIF(FF16:FF23,"OY")+COUNTIF(FF16:FF23,"M")+COUNTIF(FF16:FF23,"V")+COUNTIF(FF16:FF23,"P"))/8)&gt;0.2,((COUNTIF(FF16:FF23,"O")+COUNTIF(FF16:FF23,"L")+COUNTIF(FF16:FF23,"H1")+COUNTIF(FF16:FF23,"H2")+COUNTIF(FF16:FF23,"OY")+COUNTIF(FF16:FF23,"M")+COUNTIF(FF16:FF23,"V")+COUNTIF(FF16:FF23,"P"))/8)&lt;=0.4)</formula>
    </cfRule>
    <cfRule type="expression" dxfId="650" priority="937">
      <formula>AND(((COUNTIF(FF16:FF23,"O")+COUNTIF(FF16:FF23,"L")+COUNTIF(FF16:FF23,"H1")+COUNTIF(FF16:FF23,"H2")+COUNTIF(FF16:FF23,"OY")+COUNTIF(FF16:FF23,"M")+COUNTIF(FF16:FF23,"V")+COUNTIF(FF16:FF23,"P"))/8)&gt;=0.4,((COUNTIF(FF16:FF23,"O")+COUNTIF(FF16:FF23,"L")+COUNTIF(FF16:FF23,"H1")+COUNTIF(FF16:FF23,"H2")+COUNTIF(FF16:FF23,"OY")+COUNTIF(FF16:FF23,"M")+COUNTIF(FF16:FF23,"V")+COUNTIF(FF16:FF23,"P"))/8)&lt;=1)</formula>
    </cfRule>
  </conditionalFormatting>
  <conditionalFormatting sqref="FM10:FQ13">
    <cfRule type="expression" dxfId="649" priority="923" stopIfTrue="1">
      <formula>AND(FM$7&lt;&gt;"",VLOOKUP(FM$8,$NX$25:$NY$32,2,0)&lt;&gt;"Yes")</formula>
    </cfRule>
    <cfRule type="expression" dxfId="648" priority="924" stopIfTrue="1">
      <formula>ISNUMBER(MATCH(DATE($B$4,$B$3+$B$5-1,FM$7),HolidayListNamedRange,0))</formula>
    </cfRule>
  </conditionalFormatting>
  <conditionalFormatting sqref="FM14:FQ14">
    <cfRule type="expression" dxfId="647" priority="921" stopIfTrue="1">
      <formula>AND(FM$7&lt;&gt;"",VLOOKUP(FM$8,$NX$23:$NY$30,2,0)&lt;&gt;"Yes")</formula>
    </cfRule>
    <cfRule type="expression" dxfId="646" priority="922" stopIfTrue="1">
      <formula>ISNUMBER(MATCH(DATE($B$4,$B$3+$B$5-1,FM$7),HolidayListNamedRange,0))</formula>
    </cfRule>
  </conditionalFormatting>
  <conditionalFormatting sqref="FM14:FQ14">
    <cfRule type="expression" dxfId="645" priority="918">
      <formula>AND(((COUNTIF(FM12:FM13,"O")+COUNTIF(FM12:FM13,"L")+COUNTIF(FM12:FM13,"H1")+COUNTIF(FM12:FM13,"H2")+COUNTIF(FM12:FM13,"OY")+COUNTIF(FM12:FM13,"M")+COUNTIF(FM12:FM13,"V")+COUNTIF(FM12:FM13,"P"))/2)&gt;=0,((COUNTIF(FM12:FM13,"O")+COUNTIF(FM12:FM13,"L")+COUNTIF(FM12:FM13,"H1")+COUNTIF(FM12:FM13,"H2")+COUNTIF(FM12:FM13,"OY")+COUNTIF(FM12:FM13,"M")+COUNTIF(FM12:FM13,"V")+COUNTIF(FM12:FM13,"P"))/2)&lt;=0.2)</formula>
    </cfRule>
    <cfRule type="expression" dxfId="644" priority="919">
      <formula>AND(((COUNTIF(FM12:FM13,"O")+COUNTIF(FM12:FM13,"L")+COUNTIF(FM12:FM13,"H1")+COUNTIF(FM12:FM13,"H2")+COUNTIF(FM12:FM13,"OY")+COUNTIF(FM12:FM13,"M")+COUNTIF(FM12:FM13,"V")+COUNTIF(FM12:FM13,"P"))/2)&gt;0.2,((COUNTIF(FM12:FM13,"O")+COUNTIF(FM12:FM13,"L")+COUNTIF(FM12:FM13,"H1")+COUNTIF(FM12:FM13,"H2")+COUNTIF(FM12:FM13,"OY")+COUNTIF(FM12:FM13,"M")+COUNTIF(FM12:FM13,"V")+COUNTIF(FM12:FM13,"P"))/2)&lt;=0.4)</formula>
    </cfRule>
    <cfRule type="expression" dxfId="643" priority="920">
      <formula>AND(((COUNTIF(FM12:FM13,"O")+COUNTIF(FM12:FM13,"L")+COUNTIF(FM12:FM13,"H1")+COUNTIF(FM12:FM13,"H2")+COUNTIF(FM12:FM13,"OY")+COUNTIF(FM12:FM13,"M")+COUNTIF(FM12:FM13,"V")+COUNTIF(FM12:FM13,"P"))/2)&gt;=0.4,((COUNTIF(FM12:FM13,"O")+COUNTIF(FM12:FM13,"L")+COUNTIF(FM12:FM13,"H1")+COUNTIF(FM12:FM13,"H2")+COUNTIF(FM12:FM13,"OY")+COUNTIF(FM12:FM13,"M")+COUNTIF(FM12:FM13,"V")+COUNTIF(FM12:FM13,"P"))/2)&lt;=1)</formula>
    </cfRule>
  </conditionalFormatting>
  <conditionalFormatting sqref="FM24:FQ24">
    <cfRule type="expression" dxfId="642" priority="916" stopIfTrue="1">
      <formula>AND(FM$7&lt;&gt;"",VLOOKUP(FM$8,$NX$23:$NY$30,2,0)&lt;&gt;"Yes")</formula>
    </cfRule>
    <cfRule type="expression" dxfId="641" priority="917" stopIfTrue="1">
      <formula>ISNUMBER(MATCH(DATE($B$4,$B$3+$B$5-1,FM$7),HolidayListNamedRange,0))</formula>
    </cfRule>
  </conditionalFormatting>
  <conditionalFormatting sqref="FM24:FQ24">
    <cfRule type="expression" dxfId="640" priority="913">
      <formula>AND(((COUNTIF(FM16:FM23,"O")+COUNTIF(FM16:FM23,"L")+COUNTIF(FM16:FM23,"H1")+COUNTIF(FM16:FM23,"H2")+COUNTIF(FM16:FM23,"OY")+COUNTIF(FM16:FM23,"M")+COUNTIF(FM16:FM23,"V")+COUNTIF(FM16:FM23,"P"))/8)&gt;=0,((COUNTIF(FM16:FM23,"O")+COUNTIF(FM16:FM23,"L")+COUNTIF(FM16:FM23,"H1")+COUNTIF(FM16:FM23,"H2")+COUNTIF(FM16:FM23,"OY")+COUNTIF(FM16:FM23,"M")+COUNTIF(FM16:FM23,"V")+COUNTIF(FM16:FM23,"P"))/8)&lt;=0.2)</formula>
    </cfRule>
    <cfRule type="expression" dxfId="639" priority="914">
      <formula>AND(((COUNTIF(FM16:FM23,"O")+COUNTIF(FM16:FM23,"L")+COUNTIF(FM16:FM23,"H1")+COUNTIF(FM16:FM23,"H2")+COUNTIF(FM16:FM23,"OY")+COUNTIF(FM16:FM23,"M")+COUNTIF(FM16:FM23,"V")+COUNTIF(FM16:FM23,"P"))/8)&gt;0.2,((COUNTIF(FM16:FM23,"O")+COUNTIF(FM16:FM23,"L")+COUNTIF(FM16:FM23,"H1")+COUNTIF(FM16:FM23,"H2")+COUNTIF(FM16:FM23,"OY")+COUNTIF(FM16:FM23,"M")+COUNTIF(FM16:FM23,"V")+COUNTIF(FM16:FM23,"P"))/8)&lt;=0.4)</formula>
    </cfRule>
    <cfRule type="expression" dxfId="638" priority="915">
      <formula>AND(((COUNTIF(FM16:FM23,"O")+COUNTIF(FM16:FM23,"L")+COUNTIF(FM16:FM23,"H1")+COUNTIF(FM16:FM23,"H2")+COUNTIF(FM16:FM23,"OY")+COUNTIF(FM16:FM23,"M")+COUNTIF(FM16:FM23,"V")+COUNTIF(FM16:FM23,"P"))/8)&gt;=0.4,((COUNTIF(FM16:FM23,"O")+COUNTIF(FM16:FM23,"L")+COUNTIF(FM16:FM23,"H1")+COUNTIF(FM16:FM23,"H2")+COUNTIF(FM16:FM23,"OY")+COUNTIF(FM16:FM23,"M")+COUNTIF(FM16:FM23,"V")+COUNTIF(FM16:FM23,"P"))/8)&lt;=1)</formula>
    </cfRule>
  </conditionalFormatting>
  <conditionalFormatting sqref="FT10:FX13">
    <cfRule type="expression" dxfId="637" priority="901" stopIfTrue="1">
      <formula>AND(FT$7&lt;&gt;"",VLOOKUP(FT$8,$NX$25:$NY$32,2,0)&lt;&gt;"Yes")</formula>
    </cfRule>
    <cfRule type="expression" dxfId="636" priority="902" stopIfTrue="1">
      <formula>ISNUMBER(MATCH(DATE($B$4,$B$3+$B$5-1,FT$7),HolidayListNamedRange,0))</formula>
    </cfRule>
  </conditionalFormatting>
  <conditionalFormatting sqref="FT14:FX14">
    <cfRule type="expression" dxfId="635" priority="899" stopIfTrue="1">
      <formula>AND(FT$7&lt;&gt;"",VLOOKUP(FT$8,$NX$23:$NY$30,2,0)&lt;&gt;"Yes")</formula>
    </cfRule>
    <cfRule type="expression" dxfId="634" priority="900" stopIfTrue="1">
      <formula>ISNUMBER(MATCH(DATE($B$4,$B$3+$B$5-1,FT$7),HolidayListNamedRange,0))</formula>
    </cfRule>
  </conditionalFormatting>
  <conditionalFormatting sqref="FT14:FX14">
    <cfRule type="expression" dxfId="633" priority="896">
      <formula>AND(((COUNTIF(FT12:FT13,"O")+COUNTIF(FT12:FT13,"L")+COUNTIF(FT12:FT13,"H1")+COUNTIF(FT12:FT13,"H2")+COUNTIF(FT12:FT13,"OY")+COUNTIF(FT12:FT13,"M")+COUNTIF(FT12:FT13,"V")+COUNTIF(FT12:FT13,"P"))/2)&gt;=0,((COUNTIF(FT12:FT13,"O")+COUNTIF(FT12:FT13,"L")+COUNTIF(FT12:FT13,"H1")+COUNTIF(FT12:FT13,"H2")+COUNTIF(FT12:FT13,"OY")+COUNTIF(FT12:FT13,"M")+COUNTIF(FT12:FT13,"V")+COUNTIF(FT12:FT13,"P"))/2)&lt;=0.2)</formula>
    </cfRule>
    <cfRule type="expression" dxfId="632" priority="897">
      <formula>AND(((COUNTIF(FT12:FT13,"O")+COUNTIF(FT12:FT13,"L")+COUNTIF(FT12:FT13,"H1")+COUNTIF(FT12:FT13,"H2")+COUNTIF(FT12:FT13,"OY")+COUNTIF(FT12:FT13,"M")+COUNTIF(FT12:FT13,"V")+COUNTIF(FT12:FT13,"P"))/2)&gt;0.2,((COUNTIF(FT12:FT13,"O")+COUNTIF(FT12:FT13,"L")+COUNTIF(FT12:FT13,"H1")+COUNTIF(FT12:FT13,"H2")+COUNTIF(FT12:FT13,"OY")+COUNTIF(FT12:FT13,"M")+COUNTIF(FT12:FT13,"V")+COUNTIF(FT12:FT13,"P"))/2)&lt;=0.4)</formula>
    </cfRule>
    <cfRule type="expression" dxfId="631" priority="898">
      <formula>AND(((COUNTIF(FT12:FT13,"O")+COUNTIF(FT12:FT13,"L")+COUNTIF(FT12:FT13,"H1")+COUNTIF(FT12:FT13,"H2")+COUNTIF(FT12:FT13,"OY")+COUNTIF(FT12:FT13,"M")+COUNTIF(FT12:FT13,"V")+COUNTIF(FT12:FT13,"P"))/2)&gt;=0.4,((COUNTIF(FT12:FT13,"O")+COUNTIF(FT12:FT13,"L")+COUNTIF(FT12:FT13,"H1")+COUNTIF(FT12:FT13,"H2")+COUNTIF(FT12:FT13,"OY")+COUNTIF(FT12:FT13,"M")+COUNTIF(FT12:FT13,"V")+COUNTIF(FT12:FT13,"P"))/2)&lt;=1)</formula>
    </cfRule>
  </conditionalFormatting>
  <conditionalFormatting sqref="FT24:FX24">
    <cfRule type="expression" dxfId="630" priority="894" stopIfTrue="1">
      <formula>AND(FT$7&lt;&gt;"",VLOOKUP(FT$8,$NX$23:$NY$30,2,0)&lt;&gt;"Yes")</formula>
    </cfRule>
    <cfRule type="expression" dxfId="629" priority="895" stopIfTrue="1">
      <formula>ISNUMBER(MATCH(DATE($B$4,$B$3+$B$5-1,FT$7),HolidayListNamedRange,0))</formula>
    </cfRule>
  </conditionalFormatting>
  <conditionalFormatting sqref="FT24:FX24">
    <cfRule type="expression" dxfId="628" priority="891">
      <formula>AND(((COUNTIF(FT16:FT23,"O")+COUNTIF(FT16:FT23,"L")+COUNTIF(FT16:FT23,"H1")+COUNTIF(FT16:FT23,"H2")+COUNTIF(FT16:FT23,"OY")+COUNTIF(FT16:FT23,"M")+COUNTIF(FT16:FT23,"V")+COUNTIF(FT16:FT23,"P"))/8)&gt;=0,((COUNTIF(FT16:FT23,"O")+COUNTIF(FT16:FT23,"L")+COUNTIF(FT16:FT23,"H1")+COUNTIF(FT16:FT23,"H2")+COUNTIF(FT16:FT23,"OY")+COUNTIF(FT16:FT23,"M")+COUNTIF(FT16:FT23,"V")+COUNTIF(FT16:FT23,"P"))/8)&lt;=0.2)</formula>
    </cfRule>
    <cfRule type="expression" dxfId="627" priority="892">
      <formula>AND(((COUNTIF(FT16:FT23,"O")+COUNTIF(FT16:FT23,"L")+COUNTIF(FT16:FT23,"H1")+COUNTIF(FT16:FT23,"H2")+COUNTIF(FT16:FT23,"OY")+COUNTIF(FT16:FT23,"M")+COUNTIF(FT16:FT23,"V")+COUNTIF(FT16:FT23,"P"))/8)&gt;0.2,((COUNTIF(FT16:FT23,"O")+COUNTIF(FT16:FT23,"L")+COUNTIF(FT16:FT23,"H1")+COUNTIF(FT16:FT23,"H2")+COUNTIF(FT16:FT23,"OY")+COUNTIF(FT16:FT23,"M")+COUNTIF(FT16:FT23,"V")+COUNTIF(FT16:FT23,"P"))/8)&lt;=0.4)</formula>
    </cfRule>
    <cfRule type="expression" dxfId="626" priority="893">
      <formula>AND(((COUNTIF(FT16:FT23,"O")+COUNTIF(FT16:FT23,"L")+COUNTIF(FT16:FT23,"H1")+COUNTIF(FT16:FT23,"H2")+COUNTIF(FT16:FT23,"OY")+COUNTIF(FT16:FT23,"M")+COUNTIF(FT16:FT23,"V")+COUNTIF(FT16:FT23,"P"))/8)&gt;=0.4,((COUNTIF(FT16:FT23,"O")+COUNTIF(FT16:FT23,"L")+COUNTIF(FT16:FT23,"H1")+COUNTIF(FT16:FT23,"H2")+COUNTIF(FT16:FT23,"OY")+COUNTIF(FT16:FT23,"M")+COUNTIF(FT16:FT23,"V")+COUNTIF(FT16:FT23,"P"))/8)&lt;=1)</formula>
    </cfRule>
  </conditionalFormatting>
  <conditionalFormatting sqref="GA10:GE13">
    <cfRule type="expression" dxfId="625" priority="879" stopIfTrue="1">
      <formula>AND(GA$7&lt;&gt;"",VLOOKUP(GA$8,$NX$25:$NY$32,2,0)&lt;&gt;"Yes")</formula>
    </cfRule>
    <cfRule type="expression" dxfId="624" priority="880" stopIfTrue="1">
      <formula>ISNUMBER(MATCH(DATE($B$4,$B$3+$B$5-1,GA$7),HolidayListNamedRange,0))</formula>
    </cfRule>
  </conditionalFormatting>
  <conditionalFormatting sqref="GA14:GE14">
    <cfRule type="expression" dxfId="623" priority="877" stopIfTrue="1">
      <formula>AND(GA$7&lt;&gt;"",VLOOKUP(GA$8,$NX$23:$NY$30,2,0)&lt;&gt;"Yes")</formula>
    </cfRule>
    <cfRule type="expression" dxfId="622" priority="878" stopIfTrue="1">
      <formula>ISNUMBER(MATCH(DATE($B$4,$B$3+$B$5-1,GA$7),HolidayListNamedRange,0))</formula>
    </cfRule>
  </conditionalFormatting>
  <conditionalFormatting sqref="GA14:GE14">
    <cfRule type="expression" dxfId="621" priority="874">
      <formula>AND(((COUNTIF(GA12:GA13,"O")+COUNTIF(GA12:GA13,"L")+COUNTIF(GA12:GA13,"H1")+COUNTIF(GA12:GA13,"H2")+COUNTIF(GA12:GA13,"OY")+COUNTIF(GA12:GA13,"M")+COUNTIF(GA12:GA13,"V")+COUNTIF(GA12:GA13,"P"))/2)&gt;=0,((COUNTIF(GA12:GA13,"O")+COUNTIF(GA12:GA13,"L")+COUNTIF(GA12:GA13,"H1")+COUNTIF(GA12:GA13,"H2")+COUNTIF(GA12:GA13,"OY")+COUNTIF(GA12:GA13,"M")+COUNTIF(GA12:GA13,"V")+COUNTIF(GA12:GA13,"P"))/2)&lt;=0.2)</formula>
    </cfRule>
    <cfRule type="expression" dxfId="620" priority="875">
      <formula>AND(((COUNTIF(GA12:GA13,"O")+COUNTIF(GA12:GA13,"L")+COUNTIF(GA12:GA13,"H1")+COUNTIF(GA12:GA13,"H2")+COUNTIF(GA12:GA13,"OY")+COUNTIF(GA12:GA13,"M")+COUNTIF(GA12:GA13,"V")+COUNTIF(GA12:GA13,"P"))/2)&gt;0.2,((COUNTIF(GA12:GA13,"O")+COUNTIF(GA12:GA13,"L")+COUNTIF(GA12:GA13,"H1")+COUNTIF(GA12:GA13,"H2")+COUNTIF(GA12:GA13,"OY")+COUNTIF(GA12:GA13,"M")+COUNTIF(GA12:GA13,"V")+COUNTIF(GA12:GA13,"P"))/2)&lt;=0.4)</formula>
    </cfRule>
    <cfRule type="expression" dxfId="619" priority="876">
      <formula>AND(((COUNTIF(GA12:GA13,"O")+COUNTIF(GA12:GA13,"L")+COUNTIF(GA12:GA13,"H1")+COUNTIF(GA12:GA13,"H2")+COUNTIF(GA12:GA13,"OY")+COUNTIF(GA12:GA13,"M")+COUNTIF(GA12:GA13,"V")+COUNTIF(GA12:GA13,"P"))/2)&gt;=0.4,((COUNTIF(GA12:GA13,"O")+COUNTIF(GA12:GA13,"L")+COUNTIF(GA12:GA13,"H1")+COUNTIF(GA12:GA13,"H2")+COUNTIF(GA12:GA13,"OY")+COUNTIF(GA12:GA13,"M")+COUNTIF(GA12:GA13,"V")+COUNTIF(GA12:GA13,"P"))/2)&lt;=1)</formula>
    </cfRule>
  </conditionalFormatting>
  <conditionalFormatting sqref="GA24:GE24">
    <cfRule type="expression" dxfId="618" priority="872" stopIfTrue="1">
      <formula>AND(GA$7&lt;&gt;"",VLOOKUP(GA$8,$NX$23:$NY$30,2,0)&lt;&gt;"Yes")</formula>
    </cfRule>
    <cfRule type="expression" dxfId="617" priority="873" stopIfTrue="1">
      <formula>ISNUMBER(MATCH(DATE($B$4,$B$3+$B$5-1,GA$7),HolidayListNamedRange,0))</formula>
    </cfRule>
  </conditionalFormatting>
  <conditionalFormatting sqref="GA24:GE24">
    <cfRule type="expression" dxfId="616" priority="869">
      <formula>AND(((COUNTIF(GA16:GA23,"O")+COUNTIF(GA16:GA23,"L")+COUNTIF(GA16:GA23,"H1")+COUNTIF(GA16:GA23,"H2")+COUNTIF(GA16:GA23,"OY")+COUNTIF(GA16:GA23,"M")+COUNTIF(GA16:GA23,"V")+COUNTIF(GA16:GA23,"P"))/8)&gt;=0,((COUNTIF(GA16:GA23,"O")+COUNTIF(GA16:GA23,"L")+COUNTIF(GA16:GA23,"H1")+COUNTIF(GA16:GA23,"H2")+COUNTIF(GA16:GA23,"OY")+COUNTIF(GA16:GA23,"M")+COUNTIF(GA16:GA23,"V")+COUNTIF(GA16:GA23,"P"))/8)&lt;=0.2)</formula>
    </cfRule>
    <cfRule type="expression" dxfId="615" priority="870">
      <formula>AND(((COUNTIF(GA16:GA23,"O")+COUNTIF(GA16:GA23,"L")+COUNTIF(GA16:GA23,"H1")+COUNTIF(GA16:GA23,"H2")+COUNTIF(GA16:GA23,"OY")+COUNTIF(GA16:GA23,"M")+COUNTIF(GA16:GA23,"V")+COUNTIF(GA16:GA23,"P"))/8)&gt;0.2,((COUNTIF(GA16:GA23,"O")+COUNTIF(GA16:GA23,"L")+COUNTIF(GA16:GA23,"H1")+COUNTIF(GA16:GA23,"H2")+COUNTIF(GA16:GA23,"OY")+COUNTIF(GA16:GA23,"M")+COUNTIF(GA16:GA23,"V")+COUNTIF(GA16:GA23,"P"))/8)&lt;=0.4)</formula>
    </cfRule>
    <cfRule type="expression" dxfId="614" priority="871">
      <formula>AND(((COUNTIF(GA16:GA23,"O")+COUNTIF(GA16:GA23,"L")+COUNTIF(GA16:GA23,"H1")+COUNTIF(GA16:GA23,"H2")+COUNTIF(GA16:GA23,"OY")+COUNTIF(GA16:GA23,"M")+COUNTIF(GA16:GA23,"V")+COUNTIF(GA16:GA23,"P"))/8)&gt;=0.4,((COUNTIF(GA16:GA23,"O")+COUNTIF(GA16:GA23,"L")+COUNTIF(GA16:GA23,"H1")+COUNTIF(GA16:GA23,"H2")+COUNTIF(GA16:GA23,"OY")+COUNTIF(GA16:GA23,"M")+COUNTIF(GA16:GA23,"V")+COUNTIF(GA16:GA23,"P"))/8)&lt;=1)</formula>
    </cfRule>
  </conditionalFormatting>
  <conditionalFormatting sqref="GI10:GM13">
    <cfRule type="expression" dxfId="613" priority="857" stopIfTrue="1">
      <formula>AND(GI$7&lt;&gt;"",VLOOKUP(GI$8,$NX$25:$NY$32,2,0)&lt;&gt;"Yes")</formula>
    </cfRule>
    <cfRule type="expression" dxfId="612" priority="858" stopIfTrue="1">
      <formula>ISNUMBER(MATCH(DATE($B$4,$B$3+$B$5-1,GI$7),HolidayListNamedRange,0))</formula>
    </cfRule>
  </conditionalFormatting>
  <conditionalFormatting sqref="GI14:GM14">
    <cfRule type="expression" dxfId="611" priority="855" stopIfTrue="1">
      <formula>AND(GI$7&lt;&gt;"",VLOOKUP(GI$8,$NX$23:$NY$30,2,0)&lt;&gt;"Yes")</formula>
    </cfRule>
    <cfRule type="expression" dxfId="610" priority="856" stopIfTrue="1">
      <formula>ISNUMBER(MATCH(DATE($B$4,$B$3+$B$5-1,GI$7),HolidayListNamedRange,0))</formula>
    </cfRule>
  </conditionalFormatting>
  <conditionalFormatting sqref="GI14:GM14">
    <cfRule type="expression" dxfId="609" priority="852">
      <formula>AND(((COUNTIF(GI12:GI13,"O")+COUNTIF(GI12:GI13,"L")+COUNTIF(GI12:GI13,"H1")+COUNTIF(GI12:GI13,"H2")+COUNTIF(GI12:GI13,"OY")+COUNTIF(GI12:GI13,"M")+COUNTIF(GI12:GI13,"V")+COUNTIF(GI12:GI13,"P"))/2)&gt;=0,((COUNTIF(GI12:GI13,"O")+COUNTIF(GI12:GI13,"L")+COUNTIF(GI12:GI13,"H1")+COUNTIF(GI12:GI13,"H2")+COUNTIF(GI12:GI13,"OY")+COUNTIF(GI12:GI13,"M")+COUNTIF(GI12:GI13,"V")+COUNTIF(GI12:GI13,"P"))/2)&lt;=0.2)</formula>
    </cfRule>
    <cfRule type="expression" dxfId="608" priority="853">
      <formula>AND(((COUNTIF(GI12:GI13,"O")+COUNTIF(GI12:GI13,"L")+COUNTIF(GI12:GI13,"H1")+COUNTIF(GI12:GI13,"H2")+COUNTIF(GI12:GI13,"OY")+COUNTIF(GI12:GI13,"M")+COUNTIF(GI12:GI13,"V")+COUNTIF(GI12:GI13,"P"))/2)&gt;0.2,((COUNTIF(GI12:GI13,"O")+COUNTIF(GI12:GI13,"L")+COUNTIF(GI12:GI13,"H1")+COUNTIF(GI12:GI13,"H2")+COUNTIF(GI12:GI13,"OY")+COUNTIF(GI12:GI13,"M")+COUNTIF(GI12:GI13,"V")+COUNTIF(GI12:GI13,"P"))/2)&lt;=0.4)</formula>
    </cfRule>
    <cfRule type="expression" dxfId="607" priority="854">
      <formula>AND(((COUNTIF(GI12:GI13,"O")+COUNTIF(GI12:GI13,"L")+COUNTIF(GI12:GI13,"H1")+COUNTIF(GI12:GI13,"H2")+COUNTIF(GI12:GI13,"OY")+COUNTIF(GI12:GI13,"M")+COUNTIF(GI12:GI13,"V")+COUNTIF(GI12:GI13,"P"))/2)&gt;=0.4,((COUNTIF(GI12:GI13,"O")+COUNTIF(GI12:GI13,"L")+COUNTIF(GI12:GI13,"H1")+COUNTIF(GI12:GI13,"H2")+COUNTIF(GI12:GI13,"OY")+COUNTIF(GI12:GI13,"M")+COUNTIF(GI12:GI13,"V")+COUNTIF(GI12:GI13,"P"))/2)&lt;=1)</formula>
    </cfRule>
  </conditionalFormatting>
  <conditionalFormatting sqref="GI24:GM24">
    <cfRule type="expression" dxfId="606" priority="850" stopIfTrue="1">
      <formula>AND(GI$7&lt;&gt;"",VLOOKUP(GI$8,$NX$23:$NY$30,2,0)&lt;&gt;"Yes")</formula>
    </cfRule>
    <cfRule type="expression" dxfId="605" priority="851" stopIfTrue="1">
      <formula>ISNUMBER(MATCH(DATE($B$4,$B$3+$B$5-1,GI$7),HolidayListNamedRange,0))</formula>
    </cfRule>
  </conditionalFormatting>
  <conditionalFormatting sqref="GI24:GM24">
    <cfRule type="expression" dxfId="604" priority="847">
      <formula>AND(((COUNTIF(GI16:GI23,"O")+COUNTIF(GI16:GI23,"L")+COUNTIF(GI16:GI23,"H1")+COUNTIF(GI16:GI23,"H2")+COUNTIF(GI16:GI23,"OY")+COUNTIF(GI16:GI23,"M")+COUNTIF(GI16:GI23,"V")+COUNTIF(GI16:GI23,"P"))/8)&gt;=0,((COUNTIF(GI16:GI23,"O")+COUNTIF(GI16:GI23,"L")+COUNTIF(GI16:GI23,"H1")+COUNTIF(GI16:GI23,"H2")+COUNTIF(GI16:GI23,"OY")+COUNTIF(GI16:GI23,"M")+COUNTIF(GI16:GI23,"V")+COUNTIF(GI16:GI23,"P"))/8)&lt;=0.2)</formula>
    </cfRule>
    <cfRule type="expression" dxfId="603" priority="848">
      <formula>AND(((COUNTIF(GI16:GI23,"O")+COUNTIF(GI16:GI23,"L")+COUNTIF(GI16:GI23,"H1")+COUNTIF(GI16:GI23,"H2")+COUNTIF(GI16:GI23,"OY")+COUNTIF(GI16:GI23,"M")+COUNTIF(GI16:GI23,"V")+COUNTIF(GI16:GI23,"P"))/8)&gt;0.2,((COUNTIF(GI16:GI23,"O")+COUNTIF(GI16:GI23,"L")+COUNTIF(GI16:GI23,"H1")+COUNTIF(GI16:GI23,"H2")+COUNTIF(GI16:GI23,"OY")+COUNTIF(GI16:GI23,"M")+COUNTIF(GI16:GI23,"V")+COUNTIF(GI16:GI23,"P"))/8)&lt;=0.4)</formula>
    </cfRule>
    <cfRule type="expression" dxfId="602" priority="849">
      <formula>AND(((COUNTIF(GI16:GI23,"O")+COUNTIF(GI16:GI23,"L")+COUNTIF(GI16:GI23,"H1")+COUNTIF(GI16:GI23,"H2")+COUNTIF(GI16:GI23,"OY")+COUNTIF(GI16:GI23,"M")+COUNTIF(GI16:GI23,"V")+COUNTIF(GI16:GI23,"P"))/8)&gt;=0.4,((COUNTIF(GI16:GI23,"O")+COUNTIF(GI16:GI23,"L")+COUNTIF(GI16:GI23,"H1")+COUNTIF(GI16:GI23,"H2")+COUNTIF(GI16:GI23,"OY")+COUNTIF(GI16:GI23,"M")+COUNTIF(GI16:GI23,"V")+COUNTIF(GI16:GI23,"P"))/8)&lt;=1)</formula>
    </cfRule>
  </conditionalFormatting>
  <conditionalFormatting sqref="GP10:GT13">
    <cfRule type="expression" dxfId="601" priority="835" stopIfTrue="1">
      <formula>AND(GP$7&lt;&gt;"",VLOOKUP(GP$8,$NX$25:$NY$32,2,0)&lt;&gt;"Yes")</formula>
    </cfRule>
    <cfRule type="expression" dxfId="600" priority="836" stopIfTrue="1">
      <formula>ISNUMBER(MATCH(DATE($B$4,$B$3+$B$5-1,GP$7),HolidayListNamedRange,0))</formula>
    </cfRule>
  </conditionalFormatting>
  <conditionalFormatting sqref="GP14:GT14">
    <cfRule type="expression" dxfId="599" priority="833" stopIfTrue="1">
      <formula>AND(GP$7&lt;&gt;"",VLOOKUP(GP$8,$NX$23:$NY$30,2,0)&lt;&gt;"Yes")</formula>
    </cfRule>
    <cfRule type="expression" dxfId="598" priority="834" stopIfTrue="1">
      <formula>ISNUMBER(MATCH(DATE($B$4,$B$3+$B$5-1,GP$7),HolidayListNamedRange,0))</formula>
    </cfRule>
  </conditionalFormatting>
  <conditionalFormatting sqref="GP14:GT14">
    <cfRule type="expression" dxfId="597" priority="830">
      <formula>AND(((COUNTIF(GP12:GP13,"O")+COUNTIF(GP12:GP13,"L")+COUNTIF(GP12:GP13,"H1")+COUNTIF(GP12:GP13,"H2")+COUNTIF(GP12:GP13,"OY")+COUNTIF(GP12:GP13,"M")+COUNTIF(GP12:GP13,"V")+COUNTIF(GP12:GP13,"P"))/2)&gt;=0,((COUNTIF(GP12:GP13,"O")+COUNTIF(GP12:GP13,"L")+COUNTIF(GP12:GP13,"H1")+COUNTIF(GP12:GP13,"H2")+COUNTIF(GP12:GP13,"OY")+COUNTIF(GP12:GP13,"M")+COUNTIF(GP12:GP13,"V")+COUNTIF(GP12:GP13,"P"))/2)&lt;=0.2)</formula>
    </cfRule>
    <cfRule type="expression" dxfId="596" priority="831">
      <formula>AND(((COUNTIF(GP12:GP13,"O")+COUNTIF(GP12:GP13,"L")+COUNTIF(GP12:GP13,"H1")+COUNTIF(GP12:GP13,"H2")+COUNTIF(GP12:GP13,"OY")+COUNTIF(GP12:GP13,"M")+COUNTIF(GP12:GP13,"V")+COUNTIF(GP12:GP13,"P"))/2)&gt;0.2,((COUNTIF(GP12:GP13,"O")+COUNTIF(GP12:GP13,"L")+COUNTIF(GP12:GP13,"H1")+COUNTIF(GP12:GP13,"H2")+COUNTIF(GP12:GP13,"OY")+COUNTIF(GP12:GP13,"M")+COUNTIF(GP12:GP13,"V")+COUNTIF(GP12:GP13,"P"))/2)&lt;=0.4)</formula>
    </cfRule>
    <cfRule type="expression" dxfId="595" priority="832">
      <formula>AND(((COUNTIF(GP12:GP13,"O")+COUNTIF(GP12:GP13,"L")+COUNTIF(GP12:GP13,"H1")+COUNTIF(GP12:GP13,"H2")+COUNTIF(GP12:GP13,"OY")+COUNTIF(GP12:GP13,"M")+COUNTIF(GP12:GP13,"V")+COUNTIF(GP12:GP13,"P"))/2)&gt;=0.4,((COUNTIF(GP12:GP13,"O")+COUNTIF(GP12:GP13,"L")+COUNTIF(GP12:GP13,"H1")+COUNTIF(GP12:GP13,"H2")+COUNTIF(GP12:GP13,"OY")+COUNTIF(GP12:GP13,"M")+COUNTIF(GP12:GP13,"V")+COUNTIF(GP12:GP13,"P"))/2)&lt;=1)</formula>
    </cfRule>
  </conditionalFormatting>
  <conditionalFormatting sqref="GP24:GT24">
    <cfRule type="expression" dxfId="594" priority="828" stopIfTrue="1">
      <formula>AND(GP$7&lt;&gt;"",VLOOKUP(GP$8,$NX$23:$NY$30,2,0)&lt;&gt;"Yes")</formula>
    </cfRule>
    <cfRule type="expression" dxfId="593" priority="829" stopIfTrue="1">
      <formula>ISNUMBER(MATCH(DATE($B$4,$B$3+$B$5-1,GP$7),HolidayListNamedRange,0))</formula>
    </cfRule>
  </conditionalFormatting>
  <conditionalFormatting sqref="GP24:GT24">
    <cfRule type="expression" dxfId="592" priority="825">
      <formula>AND(((COUNTIF(GP16:GP23,"O")+COUNTIF(GP16:GP23,"L")+COUNTIF(GP16:GP23,"H1")+COUNTIF(GP16:GP23,"H2")+COUNTIF(GP16:GP23,"OY")+COUNTIF(GP16:GP23,"M")+COUNTIF(GP16:GP23,"V")+COUNTIF(GP16:GP23,"P"))/8)&gt;=0,((COUNTIF(GP16:GP23,"O")+COUNTIF(GP16:GP23,"L")+COUNTIF(GP16:GP23,"H1")+COUNTIF(GP16:GP23,"H2")+COUNTIF(GP16:GP23,"OY")+COUNTIF(GP16:GP23,"M")+COUNTIF(GP16:GP23,"V")+COUNTIF(GP16:GP23,"P"))/8)&lt;=0.2)</formula>
    </cfRule>
    <cfRule type="expression" dxfId="591" priority="826">
      <formula>AND(((COUNTIF(GP16:GP23,"O")+COUNTIF(GP16:GP23,"L")+COUNTIF(GP16:GP23,"H1")+COUNTIF(GP16:GP23,"H2")+COUNTIF(GP16:GP23,"OY")+COUNTIF(GP16:GP23,"M")+COUNTIF(GP16:GP23,"V")+COUNTIF(GP16:GP23,"P"))/8)&gt;0.2,((COUNTIF(GP16:GP23,"O")+COUNTIF(GP16:GP23,"L")+COUNTIF(GP16:GP23,"H1")+COUNTIF(GP16:GP23,"H2")+COUNTIF(GP16:GP23,"OY")+COUNTIF(GP16:GP23,"M")+COUNTIF(GP16:GP23,"V")+COUNTIF(GP16:GP23,"P"))/8)&lt;=0.4)</formula>
    </cfRule>
    <cfRule type="expression" dxfId="590" priority="827">
      <formula>AND(((COUNTIF(GP16:GP23,"O")+COUNTIF(GP16:GP23,"L")+COUNTIF(GP16:GP23,"H1")+COUNTIF(GP16:GP23,"H2")+COUNTIF(GP16:GP23,"OY")+COUNTIF(GP16:GP23,"M")+COUNTIF(GP16:GP23,"V")+COUNTIF(GP16:GP23,"P"))/8)&gt;=0.4,((COUNTIF(GP16:GP23,"O")+COUNTIF(GP16:GP23,"L")+COUNTIF(GP16:GP23,"H1")+COUNTIF(GP16:GP23,"H2")+COUNTIF(GP16:GP23,"OY")+COUNTIF(GP16:GP23,"M")+COUNTIF(GP16:GP23,"V")+COUNTIF(GP16:GP23,"P"))/8)&lt;=1)</formula>
    </cfRule>
  </conditionalFormatting>
  <conditionalFormatting sqref="GW10:HA13">
    <cfRule type="expression" dxfId="589" priority="813" stopIfTrue="1">
      <formula>AND(GW$7&lt;&gt;"",VLOOKUP(GW$8,$NX$25:$NY$32,2,0)&lt;&gt;"Yes")</formula>
    </cfRule>
    <cfRule type="expression" dxfId="588" priority="814" stopIfTrue="1">
      <formula>ISNUMBER(MATCH(DATE($B$4,$B$3+$B$5-1,GW$7),HolidayListNamedRange,0))</formula>
    </cfRule>
  </conditionalFormatting>
  <conditionalFormatting sqref="GW14:HA14">
    <cfRule type="expression" dxfId="587" priority="811" stopIfTrue="1">
      <formula>AND(GW$7&lt;&gt;"",VLOOKUP(GW$8,$NX$23:$NY$30,2,0)&lt;&gt;"Yes")</formula>
    </cfRule>
    <cfRule type="expression" dxfId="586" priority="812" stopIfTrue="1">
      <formula>ISNUMBER(MATCH(DATE($B$4,$B$3+$B$5-1,GW$7),HolidayListNamedRange,0))</formula>
    </cfRule>
  </conditionalFormatting>
  <conditionalFormatting sqref="GW14:HA14">
    <cfRule type="expression" dxfId="585" priority="808">
      <formula>AND(((COUNTIF(GW12:GW13,"O")+COUNTIF(GW12:GW13,"L")+COUNTIF(GW12:GW13,"H1")+COUNTIF(GW12:GW13,"H2")+COUNTIF(GW12:GW13,"OY")+COUNTIF(GW12:GW13,"M")+COUNTIF(GW12:GW13,"V")+COUNTIF(GW12:GW13,"P"))/2)&gt;=0,((COUNTIF(GW12:GW13,"O")+COUNTIF(GW12:GW13,"L")+COUNTIF(GW12:GW13,"H1")+COUNTIF(GW12:GW13,"H2")+COUNTIF(GW12:GW13,"OY")+COUNTIF(GW12:GW13,"M")+COUNTIF(GW12:GW13,"V")+COUNTIF(GW12:GW13,"P"))/2)&lt;=0.2)</formula>
    </cfRule>
    <cfRule type="expression" dxfId="584" priority="809">
      <formula>AND(((COUNTIF(GW12:GW13,"O")+COUNTIF(GW12:GW13,"L")+COUNTIF(GW12:GW13,"H1")+COUNTIF(GW12:GW13,"H2")+COUNTIF(GW12:GW13,"OY")+COUNTIF(GW12:GW13,"M")+COUNTIF(GW12:GW13,"V")+COUNTIF(GW12:GW13,"P"))/2)&gt;0.2,((COUNTIF(GW12:GW13,"O")+COUNTIF(GW12:GW13,"L")+COUNTIF(GW12:GW13,"H1")+COUNTIF(GW12:GW13,"H2")+COUNTIF(GW12:GW13,"OY")+COUNTIF(GW12:GW13,"M")+COUNTIF(GW12:GW13,"V")+COUNTIF(GW12:GW13,"P"))/2)&lt;=0.4)</formula>
    </cfRule>
    <cfRule type="expression" dxfId="583" priority="810">
      <formula>AND(((COUNTIF(GW12:GW13,"O")+COUNTIF(GW12:GW13,"L")+COUNTIF(GW12:GW13,"H1")+COUNTIF(GW12:GW13,"H2")+COUNTIF(GW12:GW13,"OY")+COUNTIF(GW12:GW13,"M")+COUNTIF(GW12:GW13,"V")+COUNTIF(GW12:GW13,"P"))/2)&gt;=0.4,((COUNTIF(GW12:GW13,"O")+COUNTIF(GW12:GW13,"L")+COUNTIF(GW12:GW13,"H1")+COUNTIF(GW12:GW13,"H2")+COUNTIF(GW12:GW13,"OY")+COUNTIF(GW12:GW13,"M")+COUNTIF(GW12:GW13,"V")+COUNTIF(GW12:GW13,"P"))/2)&lt;=1)</formula>
    </cfRule>
  </conditionalFormatting>
  <conditionalFormatting sqref="GW24:HA24">
    <cfRule type="expression" dxfId="582" priority="806" stopIfTrue="1">
      <formula>AND(GW$7&lt;&gt;"",VLOOKUP(GW$8,$NX$23:$NY$30,2,0)&lt;&gt;"Yes")</formula>
    </cfRule>
    <cfRule type="expression" dxfId="581" priority="807" stopIfTrue="1">
      <formula>ISNUMBER(MATCH(DATE($B$4,$B$3+$B$5-1,GW$7),HolidayListNamedRange,0))</formula>
    </cfRule>
  </conditionalFormatting>
  <conditionalFormatting sqref="GW24:HA24">
    <cfRule type="expression" dxfId="580" priority="803">
      <formula>AND(((COUNTIF(GW16:GW23,"O")+COUNTIF(GW16:GW23,"L")+COUNTIF(GW16:GW23,"H1")+COUNTIF(GW16:GW23,"H2")+COUNTIF(GW16:GW23,"OY")+COUNTIF(GW16:GW23,"M")+COUNTIF(GW16:GW23,"V")+COUNTIF(GW16:GW23,"P"))/8)&gt;=0,((COUNTIF(GW16:GW23,"O")+COUNTIF(GW16:GW23,"L")+COUNTIF(GW16:GW23,"H1")+COUNTIF(GW16:GW23,"H2")+COUNTIF(GW16:GW23,"OY")+COUNTIF(GW16:GW23,"M")+COUNTIF(GW16:GW23,"V")+COUNTIF(GW16:GW23,"P"))/8)&lt;=0.2)</formula>
    </cfRule>
    <cfRule type="expression" dxfId="579" priority="804">
      <formula>AND(((COUNTIF(GW16:GW23,"O")+COUNTIF(GW16:GW23,"L")+COUNTIF(GW16:GW23,"H1")+COUNTIF(GW16:GW23,"H2")+COUNTIF(GW16:GW23,"OY")+COUNTIF(GW16:GW23,"M")+COUNTIF(GW16:GW23,"V")+COUNTIF(GW16:GW23,"P"))/8)&gt;0.2,((COUNTIF(GW16:GW23,"O")+COUNTIF(GW16:GW23,"L")+COUNTIF(GW16:GW23,"H1")+COUNTIF(GW16:GW23,"H2")+COUNTIF(GW16:GW23,"OY")+COUNTIF(GW16:GW23,"M")+COUNTIF(GW16:GW23,"V")+COUNTIF(GW16:GW23,"P"))/8)&lt;=0.4)</formula>
    </cfRule>
    <cfRule type="expression" dxfId="578" priority="805">
      <formula>AND(((COUNTIF(GW16:GW23,"O")+COUNTIF(GW16:GW23,"L")+COUNTIF(GW16:GW23,"H1")+COUNTIF(GW16:GW23,"H2")+COUNTIF(GW16:GW23,"OY")+COUNTIF(GW16:GW23,"M")+COUNTIF(GW16:GW23,"V")+COUNTIF(GW16:GW23,"P"))/8)&gt;=0.4,((COUNTIF(GW16:GW23,"O")+COUNTIF(GW16:GW23,"L")+COUNTIF(GW16:GW23,"H1")+COUNTIF(GW16:GW23,"H2")+COUNTIF(GW16:GW23,"OY")+COUNTIF(GW16:GW23,"M")+COUNTIF(GW16:GW23,"V")+COUNTIF(GW16:GW23,"P"))/8)&lt;=1)</formula>
    </cfRule>
  </conditionalFormatting>
  <conditionalFormatting sqref="HD10:HH13">
    <cfRule type="expression" dxfId="577" priority="791" stopIfTrue="1">
      <formula>AND(HD$7&lt;&gt;"",VLOOKUP(HD$8,$NX$25:$NY$32,2,0)&lt;&gt;"Yes")</formula>
    </cfRule>
    <cfRule type="expression" dxfId="576" priority="792" stopIfTrue="1">
      <formula>ISNUMBER(MATCH(DATE($B$4,$B$3+$B$5-1,HD$7),HolidayListNamedRange,0))</formula>
    </cfRule>
  </conditionalFormatting>
  <conditionalFormatting sqref="HD14:HH14">
    <cfRule type="expression" dxfId="575" priority="789" stopIfTrue="1">
      <formula>AND(HD$7&lt;&gt;"",VLOOKUP(HD$8,$NX$23:$NY$30,2,0)&lt;&gt;"Yes")</formula>
    </cfRule>
    <cfRule type="expression" dxfId="574" priority="790" stopIfTrue="1">
      <formula>ISNUMBER(MATCH(DATE($B$4,$B$3+$B$5-1,HD$7),HolidayListNamedRange,0))</formula>
    </cfRule>
  </conditionalFormatting>
  <conditionalFormatting sqref="HD14:HH14">
    <cfRule type="expression" dxfId="573" priority="786">
      <formula>AND(((COUNTIF(HD12:HD13,"O")+COUNTIF(HD12:HD13,"L")+COUNTIF(HD12:HD13,"H1")+COUNTIF(HD12:HD13,"H2")+COUNTIF(HD12:HD13,"OY")+COUNTIF(HD12:HD13,"M")+COUNTIF(HD12:HD13,"V")+COUNTIF(HD12:HD13,"P"))/2)&gt;=0,((COUNTIF(HD12:HD13,"O")+COUNTIF(HD12:HD13,"L")+COUNTIF(HD12:HD13,"H1")+COUNTIF(HD12:HD13,"H2")+COUNTIF(HD12:HD13,"OY")+COUNTIF(HD12:HD13,"M")+COUNTIF(HD12:HD13,"V")+COUNTIF(HD12:HD13,"P"))/2)&lt;=0.2)</formula>
    </cfRule>
    <cfRule type="expression" dxfId="572" priority="787">
      <formula>AND(((COUNTIF(HD12:HD13,"O")+COUNTIF(HD12:HD13,"L")+COUNTIF(HD12:HD13,"H1")+COUNTIF(HD12:HD13,"H2")+COUNTIF(HD12:HD13,"OY")+COUNTIF(HD12:HD13,"M")+COUNTIF(HD12:HD13,"V")+COUNTIF(HD12:HD13,"P"))/2)&gt;0.2,((COUNTIF(HD12:HD13,"O")+COUNTIF(HD12:HD13,"L")+COUNTIF(HD12:HD13,"H1")+COUNTIF(HD12:HD13,"H2")+COUNTIF(HD12:HD13,"OY")+COUNTIF(HD12:HD13,"M")+COUNTIF(HD12:HD13,"V")+COUNTIF(HD12:HD13,"P"))/2)&lt;=0.4)</formula>
    </cfRule>
    <cfRule type="expression" dxfId="571" priority="788">
      <formula>AND(((COUNTIF(HD12:HD13,"O")+COUNTIF(HD12:HD13,"L")+COUNTIF(HD12:HD13,"H1")+COUNTIF(HD12:HD13,"H2")+COUNTIF(HD12:HD13,"OY")+COUNTIF(HD12:HD13,"M")+COUNTIF(HD12:HD13,"V")+COUNTIF(HD12:HD13,"P"))/2)&gt;=0.4,((COUNTIF(HD12:HD13,"O")+COUNTIF(HD12:HD13,"L")+COUNTIF(HD12:HD13,"H1")+COUNTIF(HD12:HD13,"H2")+COUNTIF(HD12:HD13,"OY")+COUNTIF(HD12:HD13,"M")+COUNTIF(HD12:HD13,"V")+COUNTIF(HD12:HD13,"P"))/2)&lt;=1)</formula>
    </cfRule>
  </conditionalFormatting>
  <conditionalFormatting sqref="HD24:HH24">
    <cfRule type="expression" dxfId="570" priority="784" stopIfTrue="1">
      <formula>AND(HD$7&lt;&gt;"",VLOOKUP(HD$8,$NX$23:$NY$30,2,0)&lt;&gt;"Yes")</formula>
    </cfRule>
    <cfRule type="expression" dxfId="569" priority="785" stopIfTrue="1">
      <formula>ISNUMBER(MATCH(DATE($B$4,$B$3+$B$5-1,HD$7),HolidayListNamedRange,0))</formula>
    </cfRule>
  </conditionalFormatting>
  <conditionalFormatting sqref="HD24:HH24">
    <cfRule type="expression" dxfId="568" priority="781">
      <formula>AND(((COUNTIF(HD16:HD23,"O")+COUNTIF(HD16:HD23,"L")+COUNTIF(HD16:HD23,"H1")+COUNTIF(HD16:HD23,"H2")+COUNTIF(HD16:HD23,"OY")+COUNTIF(HD16:HD23,"M")+COUNTIF(HD16:HD23,"V")+COUNTIF(HD16:HD23,"P"))/8)&gt;=0,((COUNTIF(HD16:HD23,"O")+COUNTIF(HD16:HD23,"L")+COUNTIF(HD16:HD23,"H1")+COUNTIF(HD16:HD23,"H2")+COUNTIF(HD16:HD23,"OY")+COUNTIF(HD16:HD23,"M")+COUNTIF(HD16:HD23,"V")+COUNTIF(HD16:HD23,"P"))/8)&lt;=0.2)</formula>
    </cfRule>
    <cfRule type="expression" dxfId="567" priority="782">
      <formula>AND(((COUNTIF(HD16:HD23,"O")+COUNTIF(HD16:HD23,"L")+COUNTIF(HD16:HD23,"H1")+COUNTIF(HD16:HD23,"H2")+COUNTIF(HD16:HD23,"OY")+COUNTIF(HD16:HD23,"M")+COUNTIF(HD16:HD23,"V")+COUNTIF(HD16:HD23,"P"))/8)&gt;0.2,((COUNTIF(HD16:HD23,"O")+COUNTIF(HD16:HD23,"L")+COUNTIF(HD16:HD23,"H1")+COUNTIF(HD16:HD23,"H2")+COUNTIF(HD16:HD23,"OY")+COUNTIF(HD16:HD23,"M")+COUNTIF(HD16:HD23,"V")+COUNTIF(HD16:HD23,"P"))/8)&lt;=0.4)</formula>
    </cfRule>
    <cfRule type="expression" dxfId="566" priority="783">
      <formula>AND(((COUNTIF(HD16:HD23,"O")+COUNTIF(HD16:HD23,"L")+COUNTIF(HD16:HD23,"H1")+COUNTIF(HD16:HD23,"H2")+COUNTIF(HD16:HD23,"OY")+COUNTIF(HD16:HD23,"M")+COUNTIF(HD16:HD23,"V")+COUNTIF(HD16:HD23,"P"))/8)&gt;=0.4,((COUNTIF(HD16:HD23,"O")+COUNTIF(HD16:HD23,"L")+COUNTIF(HD16:HD23,"H1")+COUNTIF(HD16:HD23,"H2")+COUNTIF(HD16:HD23,"OY")+COUNTIF(HD16:HD23,"M")+COUNTIF(HD16:HD23,"V")+COUNTIF(HD16:HD23,"P"))/8)&lt;=1)</formula>
    </cfRule>
  </conditionalFormatting>
  <conditionalFormatting sqref="HL10:HO13">
    <cfRule type="expression" dxfId="565" priority="769" stopIfTrue="1">
      <formula>AND(HL$7&lt;&gt;"",VLOOKUP(HL$8,$NX$25:$NY$32,2,0)&lt;&gt;"Yes")</formula>
    </cfRule>
    <cfRule type="expression" dxfId="564" priority="770" stopIfTrue="1">
      <formula>ISNUMBER(MATCH(DATE($B$4,$B$3+$B$5-1,HL$7),HolidayListNamedRange,0))</formula>
    </cfRule>
  </conditionalFormatting>
  <conditionalFormatting sqref="HL14:HO14">
    <cfRule type="expression" dxfId="563" priority="767" stopIfTrue="1">
      <formula>AND(HL$7&lt;&gt;"",VLOOKUP(HL$8,$NX$23:$NY$30,2,0)&lt;&gt;"Yes")</formula>
    </cfRule>
    <cfRule type="expression" dxfId="562" priority="768" stopIfTrue="1">
      <formula>ISNUMBER(MATCH(DATE($B$4,$B$3+$B$5-1,HL$7),HolidayListNamedRange,0))</formula>
    </cfRule>
  </conditionalFormatting>
  <conditionalFormatting sqref="HL14:HO14">
    <cfRule type="expression" dxfId="561" priority="764">
      <formula>AND(((COUNTIF(HL12:HL13,"O")+COUNTIF(HL12:HL13,"L")+COUNTIF(HL12:HL13,"H1")+COUNTIF(HL12:HL13,"H2")+COUNTIF(HL12:HL13,"OY")+COUNTIF(HL12:HL13,"M")+COUNTIF(HL12:HL13,"V")+COUNTIF(HL12:HL13,"P"))/2)&gt;=0,((COUNTIF(HL12:HL13,"O")+COUNTIF(HL12:HL13,"L")+COUNTIF(HL12:HL13,"H1")+COUNTIF(HL12:HL13,"H2")+COUNTIF(HL12:HL13,"OY")+COUNTIF(HL12:HL13,"M")+COUNTIF(HL12:HL13,"V")+COUNTIF(HL12:HL13,"P"))/2)&lt;=0.2)</formula>
    </cfRule>
    <cfRule type="expression" dxfId="560" priority="765">
      <formula>AND(((COUNTIF(HL12:HL13,"O")+COUNTIF(HL12:HL13,"L")+COUNTIF(HL12:HL13,"H1")+COUNTIF(HL12:HL13,"H2")+COUNTIF(HL12:HL13,"OY")+COUNTIF(HL12:HL13,"M")+COUNTIF(HL12:HL13,"V")+COUNTIF(HL12:HL13,"P"))/2)&gt;0.2,((COUNTIF(HL12:HL13,"O")+COUNTIF(HL12:HL13,"L")+COUNTIF(HL12:HL13,"H1")+COUNTIF(HL12:HL13,"H2")+COUNTIF(HL12:HL13,"OY")+COUNTIF(HL12:HL13,"M")+COUNTIF(HL12:HL13,"V")+COUNTIF(HL12:HL13,"P"))/2)&lt;=0.4)</formula>
    </cfRule>
    <cfRule type="expression" dxfId="559" priority="766">
      <formula>AND(((COUNTIF(HL12:HL13,"O")+COUNTIF(HL12:HL13,"L")+COUNTIF(HL12:HL13,"H1")+COUNTIF(HL12:HL13,"H2")+COUNTIF(HL12:HL13,"OY")+COUNTIF(HL12:HL13,"M")+COUNTIF(HL12:HL13,"V")+COUNTIF(HL12:HL13,"P"))/2)&gt;=0.4,((COUNTIF(HL12:HL13,"O")+COUNTIF(HL12:HL13,"L")+COUNTIF(HL12:HL13,"H1")+COUNTIF(HL12:HL13,"H2")+COUNTIF(HL12:HL13,"OY")+COUNTIF(HL12:HL13,"M")+COUNTIF(HL12:HL13,"V")+COUNTIF(HL12:HL13,"P"))/2)&lt;=1)</formula>
    </cfRule>
  </conditionalFormatting>
  <conditionalFormatting sqref="HL24:HO24">
    <cfRule type="expression" dxfId="558" priority="762" stopIfTrue="1">
      <formula>AND(HL$7&lt;&gt;"",VLOOKUP(HL$8,$NX$23:$NY$30,2,0)&lt;&gt;"Yes")</formula>
    </cfRule>
    <cfRule type="expression" dxfId="557" priority="763" stopIfTrue="1">
      <formula>ISNUMBER(MATCH(DATE($B$4,$B$3+$B$5-1,HL$7),HolidayListNamedRange,0))</formula>
    </cfRule>
  </conditionalFormatting>
  <conditionalFormatting sqref="HL24:HO24">
    <cfRule type="expression" dxfId="556" priority="759">
      <formula>AND(((COUNTIF(HL16:HL23,"O")+COUNTIF(HL16:HL23,"L")+COUNTIF(HL16:HL23,"H1")+COUNTIF(HL16:HL23,"H2")+COUNTIF(HL16:HL23,"OY")+COUNTIF(HL16:HL23,"M")+COUNTIF(HL16:HL23,"V")+COUNTIF(HL16:HL23,"P"))/8)&gt;=0,((COUNTIF(HL16:HL23,"O")+COUNTIF(HL16:HL23,"L")+COUNTIF(HL16:HL23,"H1")+COUNTIF(HL16:HL23,"H2")+COUNTIF(HL16:HL23,"OY")+COUNTIF(HL16:HL23,"M")+COUNTIF(HL16:HL23,"V")+COUNTIF(HL16:HL23,"P"))/8)&lt;=0.2)</formula>
    </cfRule>
    <cfRule type="expression" dxfId="555" priority="760">
      <formula>AND(((COUNTIF(HL16:HL23,"O")+COUNTIF(HL16:HL23,"L")+COUNTIF(HL16:HL23,"H1")+COUNTIF(HL16:HL23,"H2")+COUNTIF(HL16:HL23,"OY")+COUNTIF(HL16:HL23,"M")+COUNTIF(HL16:HL23,"V")+COUNTIF(HL16:HL23,"P"))/8)&gt;0.2,((COUNTIF(HL16:HL23,"O")+COUNTIF(HL16:HL23,"L")+COUNTIF(HL16:HL23,"H1")+COUNTIF(HL16:HL23,"H2")+COUNTIF(HL16:HL23,"OY")+COUNTIF(HL16:HL23,"M")+COUNTIF(HL16:HL23,"V")+COUNTIF(HL16:HL23,"P"))/8)&lt;=0.4)</formula>
    </cfRule>
    <cfRule type="expression" dxfId="554" priority="761">
      <formula>AND(((COUNTIF(HL16:HL23,"O")+COUNTIF(HL16:HL23,"L")+COUNTIF(HL16:HL23,"H1")+COUNTIF(HL16:HL23,"H2")+COUNTIF(HL16:HL23,"OY")+COUNTIF(HL16:HL23,"M")+COUNTIF(HL16:HL23,"V")+COUNTIF(HL16:HL23,"P"))/8)&gt;=0.4,((COUNTIF(HL16:HL23,"O")+COUNTIF(HL16:HL23,"L")+COUNTIF(HL16:HL23,"H1")+COUNTIF(HL16:HL23,"H2")+COUNTIF(HL16:HL23,"OY")+COUNTIF(HL16:HL23,"M")+COUNTIF(HL16:HL23,"V")+COUNTIF(HL16:HL23,"P"))/8)&lt;=1)</formula>
    </cfRule>
  </conditionalFormatting>
  <conditionalFormatting sqref="HR10:HV13">
    <cfRule type="expression" dxfId="553" priority="747" stopIfTrue="1">
      <formula>AND(HR$7&lt;&gt;"",VLOOKUP(HR$8,$NX$25:$NY$32,2,0)&lt;&gt;"Yes")</formula>
    </cfRule>
    <cfRule type="expression" dxfId="552" priority="748" stopIfTrue="1">
      <formula>ISNUMBER(MATCH(DATE($B$4,$B$3+$B$5-1,HR$7),HolidayListNamedRange,0))</formula>
    </cfRule>
  </conditionalFormatting>
  <conditionalFormatting sqref="HR14:HV14">
    <cfRule type="expression" dxfId="551" priority="745" stopIfTrue="1">
      <formula>AND(HR$7&lt;&gt;"",VLOOKUP(HR$8,$NX$23:$NY$30,2,0)&lt;&gt;"Yes")</formula>
    </cfRule>
    <cfRule type="expression" dxfId="550" priority="746" stopIfTrue="1">
      <formula>ISNUMBER(MATCH(DATE($B$4,$B$3+$B$5-1,HR$7),HolidayListNamedRange,0))</formula>
    </cfRule>
  </conditionalFormatting>
  <conditionalFormatting sqref="HR14:HV14">
    <cfRule type="expression" dxfId="549" priority="742">
      <formula>AND(((COUNTIF(HR12:HR13,"O")+COUNTIF(HR12:HR13,"L")+COUNTIF(HR12:HR13,"H1")+COUNTIF(HR12:HR13,"H2")+COUNTIF(HR12:HR13,"OY")+COUNTIF(HR12:HR13,"M")+COUNTIF(HR12:HR13,"V")+COUNTIF(HR12:HR13,"P"))/2)&gt;=0,((COUNTIF(HR12:HR13,"O")+COUNTIF(HR12:HR13,"L")+COUNTIF(HR12:HR13,"H1")+COUNTIF(HR12:HR13,"H2")+COUNTIF(HR12:HR13,"OY")+COUNTIF(HR12:HR13,"M")+COUNTIF(HR12:HR13,"V")+COUNTIF(HR12:HR13,"P"))/2)&lt;=0.2)</formula>
    </cfRule>
    <cfRule type="expression" dxfId="548" priority="743">
      <formula>AND(((COUNTIF(HR12:HR13,"O")+COUNTIF(HR12:HR13,"L")+COUNTIF(HR12:HR13,"H1")+COUNTIF(HR12:HR13,"H2")+COUNTIF(HR12:HR13,"OY")+COUNTIF(HR12:HR13,"M")+COUNTIF(HR12:HR13,"V")+COUNTIF(HR12:HR13,"P"))/2)&gt;0.2,((COUNTIF(HR12:HR13,"O")+COUNTIF(HR12:HR13,"L")+COUNTIF(HR12:HR13,"H1")+COUNTIF(HR12:HR13,"H2")+COUNTIF(HR12:HR13,"OY")+COUNTIF(HR12:HR13,"M")+COUNTIF(HR12:HR13,"V")+COUNTIF(HR12:HR13,"P"))/2)&lt;=0.4)</formula>
    </cfRule>
    <cfRule type="expression" dxfId="547" priority="744">
      <formula>AND(((COUNTIF(HR12:HR13,"O")+COUNTIF(HR12:HR13,"L")+COUNTIF(HR12:HR13,"H1")+COUNTIF(HR12:HR13,"H2")+COUNTIF(HR12:HR13,"OY")+COUNTIF(HR12:HR13,"M")+COUNTIF(HR12:HR13,"V")+COUNTIF(HR12:HR13,"P"))/2)&gt;=0.4,((COUNTIF(HR12:HR13,"O")+COUNTIF(HR12:HR13,"L")+COUNTIF(HR12:HR13,"H1")+COUNTIF(HR12:HR13,"H2")+COUNTIF(HR12:HR13,"OY")+COUNTIF(HR12:HR13,"M")+COUNTIF(HR12:HR13,"V")+COUNTIF(HR12:HR13,"P"))/2)&lt;=1)</formula>
    </cfRule>
  </conditionalFormatting>
  <conditionalFormatting sqref="HR24:HV24">
    <cfRule type="expression" dxfId="546" priority="740" stopIfTrue="1">
      <formula>AND(HR$7&lt;&gt;"",VLOOKUP(HR$8,$NX$23:$NY$30,2,0)&lt;&gt;"Yes")</formula>
    </cfRule>
    <cfRule type="expression" dxfId="545" priority="741" stopIfTrue="1">
      <formula>ISNUMBER(MATCH(DATE($B$4,$B$3+$B$5-1,HR$7),HolidayListNamedRange,0))</formula>
    </cfRule>
  </conditionalFormatting>
  <conditionalFormatting sqref="HR24:HV24">
    <cfRule type="expression" dxfId="544" priority="737">
      <formula>AND(((COUNTIF(HR16:HR23,"O")+COUNTIF(HR16:HR23,"L")+COUNTIF(HR16:HR23,"H1")+COUNTIF(HR16:HR23,"H2")+COUNTIF(HR16:HR23,"OY")+COUNTIF(HR16:HR23,"M")+COUNTIF(HR16:HR23,"V")+COUNTIF(HR16:HR23,"P"))/8)&gt;=0,((COUNTIF(HR16:HR23,"O")+COUNTIF(HR16:HR23,"L")+COUNTIF(HR16:HR23,"H1")+COUNTIF(HR16:HR23,"H2")+COUNTIF(HR16:HR23,"OY")+COUNTIF(HR16:HR23,"M")+COUNTIF(HR16:HR23,"V")+COUNTIF(HR16:HR23,"P"))/8)&lt;=0.2)</formula>
    </cfRule>
    <cfRule type="expression" dxfId="543" priority="738">
      <formula>AND(((COUNTIF(HR16:HR23,"O")+COUNTIF(HR16:HR23,"L")+COUNTIF(HR16:HR23,"H1")+COUNTIF(HR16:HR23,"H2")+COUNTIF(HR16:HR23,"OY")+COUNTIF(HR16:HR23,"M")+COUNTIF(HR16:HR23,"V")+COUNTIF(HR16:HR23,"P"))/8)&gt;0.2,((COUNTIF(HR16:HR23,"O")+COUNTIF(HR16:HR23,"L")+COUNTIF(HR16:HR23,"H1")+COUNTIF(HR16:HR23,"H2")+COUNTIF(HR16:HR23,"OY")+COUNTIF(HR16:HR23,"M")+COUNTIF(HR16:HR23,"V")+COUNTIF(HR16:HR23,"P"))/8)&lt;=0.4)</formula>
    </cfRule>
    <cfRule type="expression" dxfId="542" priority="739">
      <formula>AND(((COUNTIF(HR16:HR23,"O")+COUNTIF(HR16:HR23,"L")+COUNTIF(HR16:HR23,"H1")+COUNTIF(HR16:HR23,"H2")+COUNTIF(HR16:HR23,"OY")+COUNTIF(HR16:HR23,"M")+COUNTIF(HR16:HR23,"V")+COUNTIF(HR16:HR23,"P"))/8)&gt;=0.4,((COUNTIF(HR16:HR23,"O")+COUNTIF(HR16:HR23,"L")+COUNTIF(HR16:HR23,"H1")+COUNTIF(HR16:HR23,"H2")+COUNTIF(HR16:HR23,"OY")+COUNTIF(HR16:HR23,"M")+COUNTIF(HR16:HR23,"V")+COUNTIF(HR16:HR23,"P"))/8)&lt;=1)</formula>
    </cfRule>
  </conditionalFormatting>
  <conditionalFormatting sqref="HY10:IC13">
    <cfRule type="expression" dxfId="541" priority="725" stopIfTrue="1">
      <formula>AND(HY$7&lt;&gt;"",VLOOKUP(HY$8,$NX$25:$NY$32,2,0)&lt;&gt;"Yes")</formula>
    </cfRule>
    <cfRule type="expression" dxfId="540" priority="726" stopIfTrue="1">
      <formula>ISNUMBER(MATCH(DATE($B$4,$B$3+$B$5-1,HY$7),HolidayListNamedRange,0))</formula>
    </cfRule>
  </conditionalFormatting>
  <conditionalFormatting sqref="HY14:IC14">
    <cfRule type="expression" dxfId="539" priority="723" stopIfTrue="1">
      <formula>AND(HY$7&lt;&gt;"",VLOOKUP(HY$8,$NX$23:$NY$30,2,0)&lt;&gt;"Yes")</formula>
    </cfRule>
    <cfRule type="expression" dxfId="538" priority="724" stopIfTrue="1">
      <formula>ISNUMBER(MATCH(DATE($B$4,$B$3+$B$5-1,HY$7),HolidayListNamedRange,0))</formula>
    </cfRule>
  </conditionalFormatting>
  <conditionalFormatting sqref="HY14:IC14">
    <cfRule type="expression" dxfId="537" priority="720">
      <formula>AND(((COUNTIF(HY12:HY13,"O")+COUNTIF(HY12:HY13,"L")+COUNTIF(HY12:HY13,"H1")+COUNTIF(HY12:HY13,"H2")+COUNTIF(HY12:HY13,"OY")+COUNTIF(HY12:HY13,"M")+COUNTIF(HY12:HY13,"V")+COUNTIF(HY12:HY13,"P"))/2)&gt;=0,((COUNTIF(HY12:HY13,"O")+COUNTIF(HY12:HY13,"L")+COUNTIF(HY12:HY13,"H1")+COUNTIF(HY12:HY13,"H2")+COUNTIF(HY12:HY13,"OY")+COUNTIF(HY12:HY13,"M")+COUNTIF(HY12:HY13,"V")+COUNTIF(HY12:HY13,"P"))/2)&lt;=0.2)</formula>
    </cfRule>
    <cfRule type="expression" dxfId="536" priority="721">
      <formula>AND(((COUNTIF(HY12:HY13,"O")+COUNTIF(HY12:HY13,"L")+COUNTIF(HY12:HY13,"H1")+COUNTIF(HY12:HY13,"H2")+COUNTIF(HY12:HY13,"OY")+COUNTIF(HY12:HY13,"M")+COUNTIF(HY12:HY13,"V")+COUNTIF(HY12:HY13,"P"))/2)&gt;0.2,((COUNTIF(HY12:HY13,"O")+COUNTIF(HY12:HY13,"L")+COUNTIF(HY12:HY13,"H1")+COUNTIF(HY12:HY13,"H2")+COUNTIF(HY12:HY13,"OY")+COUNTIF(HY12:HY13,"M")+COUNTIF(HY12:HY13,"V")+COUNTIF(HY12:HY13,"P"))/2)&lt;=0.4)</formula>
    </cfRule>
    <cfRule type="expression" dxfId="535" priority="722">
      <formula>AND(((COUNTIF(HY12:HY13,"O")+COUNTIF(HY12:HY13,"L")+COUNTIF(HY12:HY13,"H1")+COUNTIF(HY12:HY13,"H2")+COUNTIF(HY12:HY13,"OY")+COUNTIF(HY12:HY13,"M")+COUNTIF(HY12:HY13,"V")+COUNTIF(HY12:HY13,"P"))/2)&gt;=0.4,((COUNTIF(HY12:HY13,"O")+COUNTIF(HY12:HY13,"L")+COUNTIF(HY12:HY13,"H1")+COUNTIF(HY12:HY13,"H2")+COUNTIF(HY12:HY13,"OY")+COUNTIF(HY12:HY13,"M")+COUNTIF(HY12:HY13,"V")+COUNTIF(HY12:HY13,"P"))/2)&lt;=1)</formula>
    </cfRule>
  </conditionalFormatting>
  <conditionalFormatting sqref="HY24:IC24">
    <cfRule type="expression" dxfId="534" priority="718" stopIfTrue="1">
      <formula>AND(HY$7&lt;&gt;"",VLOOKUP(HY$8,$NX$23:$NY$30,2,0)&lt;&gt;"Yes")</formula>
    </cfRule>
    <cfRule type="expression" dxfId="533" priority="719" stopIfTrue="1">
      <formula>ISNUMBER(MATCH(DATE($B$4,$B$3+$B$5-1,HY$7),HolidayListNamedRange,0))</formula>
    </cfRule>
  </conditionalFormatting>
  <conditionalFormatting sqref="HY24:IC24">
    <cfRule type="expression" dxfId="532" priority="715">
      <formula>AND(((COUNTIF(HY16:HY23,"O")+COUNTIF(HY16:HY23,"L")+COUNTIF(HY16:HY23,"H1")+COUNTIF(HY16:HY23,"H2")+COUNTIF(HY16:HY23,"OY")+COUNTIF(HY16:HY23,"M")+COUNTIF(HY16:HY23,"V")+COUNTIF(HY16:HY23,"P"))/8)&gt;=0,((COUNTIF(HY16:HY23,"O")+COUNTIF(HY16:HY23,"L")+COUNTIF(HY16:HY23,"H1")+COUNTIF(HY16:HY23,"H2")+COUNTIF(HY16:HY23,"OY")+COUNTIF(HY16:HY23,"M")+COUNTIF(HY16:HY23,"V")+COUNTIF(HY16:HY23,"P"))/8)&lt;=0.2)</formula>
    </cfRule>
    <cfRule type="expression" dxfId="531" priority="716">
      <formula>AND(((COUNTIF(HY16:HY23,"O")+COUNTIF(HY16:HY23,"L")+COUNTIF(HY16:HY23,"H1")+COUNTIF(HY16:HY23,"H2")+COUNTIF(HY16:HY23,"OY")+COUNTIF(HY16:HY23,"M")+COUNTIF(HY16:HY23,"V")+COUNTIF(HY16:HY23,"P"))/8)&gt;0.2,((COUNTIF(HY16:HY23,"O")+COUNTIF(HY16:HY23,"L")+COUNTIF(HY16:HY23,"H1")+COUNTIF(HY16:HY23,"H2")+COUNTIF(HY16:HY23,"OY")+COUNTIF(HY16:HY23,"M")+COUNTIF(HY16:HY23,"V")+COUNTIF(HY16:HY23,"P"))/8)&lt;=0.4)</formula>
    </cfRule>
    <cfRule type="expression" dxfId="530" priority="717">
      <formula>AND(((COUNTIF(HY16:HY23,"O")+COUNTIF(HY16:HY23,"L")+COUNTIF(HY16:HY23,"H1")+COUNTIF(HY16:HY23,"H2")+COUNTIF(HY16:HY23,"OY")+COUNTIF(HY16:HY23,"M")+COUNTIF(HY16:HY23,"V")+COUNTIF(HY16:HY23,"P"))/8)&gt;=0.4,((COUNTIF(HY16:HY23,"O")+COUNTIF(HY16:HY23,"L")+COUNTIF(HY16:HY23,"H1")+COUNTIF(HY16:HY23,"H2")+COUNTIF(HY16:HY23,"OY")+COUNTIF(HY16:HY23,"M")+COUNTIF(HY16:HY23,"V")+COUNTIF(HY16:HY23,"P"))/8)&lt;=1)</formula>
    </cfRule>
  </conditionalFormatting>
  <conditionalFormatting sqref="IF10:IJ13">
    <cfRule type="expression" dxfId="529" priority="703" stopIfTrue="1">
      <formula>AND(IF$7&lt;&gt;"",VLOOKUP(IF$8,$NX$25:$NY$32,2,0)&lt;&gt;"Yes")</formula>
    </cfRule>
    <cfRule type="expression" dxfId="528" priority="704" stopIfTrue="1">
      <formula>ISNUMBER(MATCH(DATE($B$4,$B$3+$B$5-1,IF$7),HolidayListNamedRange,0))</formula>
    </cfRule>
  </conditionalFormatting>
  <conditionalFormatting sqref="IF14:IJ14">
    <cfRule type="expression" dxfId="527" priority="701" stopIfTrue="1">
      <formula>AND(IF$7&lt;&gt;"",VLOOKUP(IF$8,$NX$23:$NY$30,2,0)&lt;&gt;"Yes")</formula>
    </cfRule>
    <cfRule type="expression" dxfId="526" priority="702" stopIfTrue="1">
      <formula>ISNUMBER(MATCH(DATE($B$4,$B$3+$B$5-1,IF$7),HolidayListNamedRange,0))</formula>
    </cfRule>
  </conditionalFormatting>
  <conditionalFormatting sqref="IF14:IJ14">
    <cfRule type="expression" dxfId="525" priority="698">
      <formula>AND(((COUNTIF(IF12:IF13,"O")+COUNTIF(IF12:IF13,"L")+COUNTIF(IF12:IF13,"H1")+COUNTIF(IF12:IF13,"H2")+COUNTIF(IF12:IF13,"OY")+COUNTIF(IF12:IF13,"M")+COUNTIF(IF12:IF13,"V")+COUNTIF(IF12:IF13,"P"))/2)&gt;=0,((COUNTIF(IF12:IF13,"O")+COUNTIF(IF12:IF13,"L")+COUNTIF(IF12:IF13,"H1")+COUNTIF(IF12:IF13,"H2")+COUNTIF(IF12:IF13,"OY")+COUNTIF(IF12:IF13,"M")+COUNTIF(IF12:IF13,"V")+COUNTIF(IF12:IF13,"P"))/2)&lt;=0.2)</formula>
    </cfRule>
    <cfRule type="expression" dxfId="524" priority="699">
      <formula>AND(((COUNTIF(IF12:IF13,"O")+COUNTIF(IF12:IF13,"L")+COUNTIF(IF12:IF13,"H1")+COUNTIF(IF12:IF13,"H2")+COUNTIF(IF12:IF13,"OY")+COUNTIF(IF12:IF13,"M")+COUNTIF(IF12:IF13,"V")+COUNTIF(IF12:IF13,"P"))/2)&gt;0.2,((COUNTIF(IF12:IF13,"O")+COUNTIF(IF12:IF13,"L")+COUNTIF(IF12:IF13,"H1")+COUNTIF(IF12:IF13,"H2")+COUNTIF(IF12:IF13,"OY")+COUNTIF(IF12:IF13,"M")+COUNTIF(IF12:IF13,"V")+COUNTIF(IF12:IF13,"P"))/2)&lt;=0.4)</formula>
    </cfRule>
    <cfRule type="expression" dxfId="523" priority="700">
      <formula>AND(((COUNTIF(IF12:IF13,"O")+COUNTIF(IF12:IF13,"L")+COUNTIF(IF12:IF13,"H1")+COUNTIF(IF12:IF13,"H2")+COUNTIF(IF12:IF13,"OY")+COUNTIF(IF12:IF13,"M")+COUNTIF(IF12:IF13,"V")+COUNTIF(IF12:IF13,"P"))/2)&gt;=0.4,((COUNTIF(IF12:IF13,"O")+COUNTIF(IF12:IF13,"L")+COUNTIF(IF12:IF13,"H1")+COUNTIF(IF12:IF13,"H2")+COUNTIF(IF12:IF13,"OY")+COUNTIF(IF12:IF13,"M")+COUNTIF(IF12:IF13,"V")+COUNTIF(IF12:IF13,"P"))/2)&lt;=1)</formula>
    </cfRule>
  </conditionalFormatting>
  <conditionalFormatting sqref="IF24:IJ24">
    <cfRule type="expression" dxfId="522" priority="696" stopIfTrue="1">
      <formula>AND(IF$7&lt;&gt;"",VLOOKUP(IF$8,$NX$23:$NY$30,2,0)&lt;&gt;"Yes")</formula>
    </cfRule>
    <cfRule type="expression" dxfId="521" priority="697" stopIfTrue="1">
      <formula>ISNUMBER(MATCH(DATE($B$4,$B$3+$B$5-1,IF$7),HolidayListNamedRange,0))</formula>
    </cfRule>
  </conditionalFormatting>
  <conditionalFormatting sqref="IF24:IJ24">
    <cfRule type="expression" dxfId="520" priority="693">
      <formula>AND(((COUNTIF(IF16:IF23,"O")+COUNTIF(IF16:IF23,"L")+COUNTIF(IF16:IF23,"H1")+COUNTIF(IF16:IF23,"H2")+COUNTIF(IF16:IF23,"OY")+COUNTIF(IF16:IF23,"M")+COUNTIF(IF16:IF23,"V")+COUNTIF(IF16:IF23,"P"))/8)&gt;=0,((COUNTIF(IF16:IF23,"O")+COUNTIF(IF16:IF23,"L")+COUNTIF(IF16:IF23,"H1")+COUNTIF(IF16:IF23,"H2")+COUNTIF(IF16:IF23,"OY")+COUNTIF(IF16:IF23,"M")+COUNTIF(IF16:IF23,"V")+COUNTIF(IF16:IF23,"P"))/8)&lt;=0.2)</formula>
    </cfRule>
    <cfRule type="expression" dxfId="519" priority="694">
      <formula>AND(((COUNTIF(IF16:IF23,"O")+COUNTIF(IF16:IF23,"L")+COUNTIF(IF16:IF23,"H1")+COUNTIF(IF16:IF23,"H2")+COUNTIF(IF16:IF23,"OY")+COUNTIF(IF16:IF23,"M")+COUNTIF(IF16:IF23,"V")+COUNTIF(IF16:IF23,"P"))/8)&gt;0.2,((COUNTIF(IF16:IF23,"O")+COUNTIF(IF16:IF23,"L")+COUNTIF(IF16:IF23,"H1")+COUNTIF(IF16:IF23,"H2")+COUNTIF(IF16:IF23,"OY")+COUNTIF(IF16:IF23,"M")+COUNTIF(IF16:IF23,"V")+COUNTIF(IF16:IF23,"P"))/8)&lt;=0.4)</formula>
    </cfRule>
    <cfRule type="expression" dxfId="518" priority="695">
      <formula>AND(((COUNTIF(IF16:IF23,"O")+COUNTIF(IF16:IF23,"L")+COUNTIF(IF16:IF23,"H1")+COUNTIF(IF16:IF23,"H2")+COUNTIF(IF16:IF23,"OY")+COUNTIF(IF16:IF23,"M")+COUNTIF(IF16:IF23,"V")+COUNTIF(IF16:IF23,"P"))/8)&gt;=0.4,((COUNTIF(IF16:IF23,"O")+COUNTIF(IF16:IF23,"L")+COUNTIF(IF16:IF23,"H1")+COUNTIF(IF16:IF23,"H2")+COUNTIF(IF16:IF23,"OY")+COUNTIF(IF16:IF23,"M")+COUNTIF(IF16:IF23,"V")+COUNTIF(IF16:IF23,"P"))/8)&lt;=1)</formula>
    </cfRule>
  </conditionalFormatting>
  <conditionalFormatting sqref="IM10:IM13">
    <cfRule type="expression" dxfId="517" priority="681" stopIfTrue="1">
      <formula>AND(IM$7&lt;&gt;"",VLOOKUP(IM$8,$NX$25:$NY$32,2,0)&lt;&gt;"Yes")</formula>
    </cfRule>
    <cfRule type="expression" dxfId="516" priority="682" stopIfTrue="1">
      <formula>ISNUMBER(MATCH(DATE($B$4,$B$3+$B$5-1,IM$7),HolidayListNamedRange,0))</formula>
    </cfRule>
  </conditionalFormatting>
  <conditionalFormatting sqref="IM14">
    <cfRule type="expression" dxfId="515" priority="679" stopIfTrue="1">
      <formula>AND(IM$7&lt;&gt;"",VLOOKUP(IM$8,$NX$23:$NY$30,2,0)&lt;&gt;"Yes")</formula>
    </cfRule>
    <cfRule type="expression" dxfId="514" priority="680" stopIfTrue="1">
      <formula>ISNUMBER(MATCH(DATE($B$4,$B$3+$B$5-1,IM$7),HolidayListNamedRange,0))</formula>
    </cfRule>
  </conditionalFormatting>
  <conditionalFormatting sqref="IM14">
    <cfRule type="expression" dxfId="513" priority="676">
      <formula>AND(((COUNTIF(IM12:IM13,"O")+COUNTIF(IM12:IM13,"L")+COUNTIF(IM12:IM13,"H1")+COUNTIF(IM12:IM13,"H2")+COUNTIF(IM12:IM13,"OY")+COUNTIF(IM12:IM13,"M")+COUNTIF(IM12:IM13,"V")+COUNTIF(IM12:IM13,"P"))/2)&gt;=0,((COUNTIF(IM12:IM13,"O")+COUNTIF(IM12:IM13,"L")+COUNTIF(IM12:IM13,"H1")+COUNTIF(IM12:IM13,"H2")+COUNTIF(IM12:IM13,"OY")+COUNTIF(IM12:IM13,"M")+COUNTIF(IM12:IM13,"V")+COUNTIF(IM12:IM13,"P"))/2)&lt;=0.2)</formula>
    </cfRule>
    <cfRule type="expression" dxfId="512" priority="677">
      <formula>AND(((COUNTIF(IM12:IM13,"O")+COUNTIF(IM12:IM13,"L")+COUNTIF(IM12:IM13,"H1")+COUNTIF(IM12:IM13,"H2")+COUNTIF(IM12:IM13,"OY")+COUNTIF(IM12:IM13,"M")+COUNTIF(IM12:IM13,"V")+COUNTIF(IM12:IM13,"P"))/2)&gt;0.2,((COUNTIF(IM12:IM13,"O")+COUNTIF(IM12:IM13,"L")+COUNTIF(IM12:IM13,"H1")+COUNTIF(IM12:IM13,"H2")+COUNTIF(IM12:IM13,"OY")+COUNTIF(IM12:IM13,"M")+COUNTIF(IM12:IM13,"V")+COUNTIF(IM12:IM13,"P"))/2)&lt;=0.4)</formula>
    </cfRule>
    <cfRule type="expression" dxfId="511" priority="678">
      <formula>AND(((COUNTIF(IM12:IM13,"O")+COUNTIF(IM12:IM13,"L")+COUNTIF(IM12:IM13,"H1")+COUNTIF(IM12:IM13,"H2")+COUNTIF(IM12:IM13,"OY")+COUNTIF(IM12:IM13,"M")+COUNTIF(IM12:IM13,"V")+COUNTIF(IM12:IM13,"P"))/2)&gt;=0.4,((COUNTIF(IM12:IM13,"O")+COUNTIF(IM12:IM13,"L")+COUNTIF(IM12:IM13,"H1")+COUNTIF(IM12:IM13,"H2")+COUNTIF(IM12:IM13,"OY")+COUNTIF(IM12:IM13,"M")+COUNTIF(IM12:IM13,"V")+COUNTIF(IM12:IM13,"P"))/2)&lt;=1)</formula>
    </cfRule>
  </conditionalFormatting>
  <conditionalFormatting sqref="IM24">
    <cfRule type="expression" dxfId="510" priority="674" stopIfTrue="1">
      <formula>AND(IM$7&lt;&gt;"",VLOOKUP(IM$8,$NX$23:$NY$30,2,0)&lt;&gt;"Yes")</formula>
    </cfRule>
    <cfRule type="expression" dxfId="509" priority="675" stopIfTrue="1">
      <formula>ISNUMBER(MATCH(DATE($B$4,$B$3+$B$5-1,IM$7),HolidayListNamedRange,0))</formula>
    </cfRule>
  </conditionalFormatting>
  <conditionalFormatting sqref="IM24">
    <cfRule type="expression" dxfId="508" priority="671">
      <formula>AND(((COUNTIF(IM16:IM23,"O")+COUNTIF(IM16:IM23,"L")+COUNTIF(IM16:IM23,"H1")+COUNTIF(IM16:IM23,"H2")+COUNTIF(IM16:IM23,"OY")+COUNTIF(IM16:IM23,"M")+COUNTIF(IM16:IM23,"V")+COUNTIF(IM16:IM23,"P"))/8)&gt;=0,((COUNTIF(IM16:IM23,"O")+COUNTIF(IM16:IM23,"L")+COUNTIF(IM16:IM23,"H1")+COUNTIF(IM16:IM23,"H2")+COUNTIF(IM16:IM23,"OY")+COUNTIF(IM16:IM23,"M")+COUNTIF(IM16:IM23,"V")+COUNTIF(IM16:IM23,"P"))/8)&lt;=0.2)</formula>
    </cfRule>
    <cfRule type="expression" dxfId="507" priority="672">
      <formula>AND(((COUNTIF(IM16:IM23,"O")+COUNTIF(IM16:IM23,"L")+COUNTIF(IM16:IM23,"H1")+COUNTIF(IM16:IM23,"H2")+COUNTIF(IM16:IM23,"OY")+COUNTIF(IM16:IM23,"M")+COUNTIF(IM16:IM23,"V")+COUNTIF(IM16:IM23,"P"))/8)&gt;0.2,((COUNTIF(IM16:IM23,"O")+COUNTIF(IM16:IM23,"L")+COUNTIF(IM16:IM23,"H1")+COUNTIF(IM16:IM23,"H2")+COUNTIF(IM16:IM23,"OY")+COUNTIF(IM16:IM23,"M")+COUNTIF(IM16:IM23,"V")+COUNTIF(IM16:IM23,"P"))/8)&lt;=0.4)</formula>
    </cfRule>
    <cfRule type="expression" dxfId="506" priority="673">
      <formula>AND(((COUNTIF(IM16:IM23,"O")+COUNTIF(IM16:IM23,"L")+COUNTIF(IM16:IM23,"H1")+COUNTIF(IM16:IM23,"H2")+COUNTIF(IM16:IM23,"OY")+COUNTIF(IM16:IM23,"M")+COUNTIF(IM16:IM23,"V")+COUNTIF(IM16:IM23,"P"))/8)&gt;=0.4,((COUNTIF(IM16:IM23,"O")+COUNTIF(IM16:IM23,"L")+COUNTIF(IM16:IM23,"H1")+COUNTIF(IM16:IM23,"H2")+COUNTIF(IM16:IM23,"OY")+COUNTIF(IM16:IM23,"M")+COUNTIF(IM16:IM23,"V")+COUNTIF(IM16:IM23,"P"))/8)&lt;=1)</formula>
    </cfRule>
  </conditionalFormatting>
  <conditionalFormatting sqref="IN10:IO13">
    <cfRule type="expression" dxfId="505" priority="659" stopIfTrue="1">
      <formula>AND(IN$7&lt;&gt;"",VLOOKUP(IN$8,$NX$25:$NY$32,2,0)&lt;&gt;"Yes")</formula>
    </cfRule>
    <cfRule type="expression" dxfId="504" priority="660" stopIfTrue="1">
      <formula>ISNUMBER(MATCH(DATE($B$4,$B$3+$B$5-1,IN$7),HolidayListNamedRange,0))</formula>
    </cfRule>
  </conditionalFormatting>
  <conditionalFormatting sqref="IN14:IO14">
    <cfRule type="expression" dxfId="503" priority="657" stopIfTrue="1">
      <formula>AND(IN$7&lt;&gt;"",VLOOKUP(IN$8,$NX$23:$NY$30,2,0)&lt;&gt;"Yes")</formula>
    </cfRule>
    <cfRule type="expression" dxfId="502" priority="658" stopIfTrue="1">
      <formula>ISNUMBER(MATCH(DATE($B$4,$B$3+$B$5-1,IN$7),HolidayListNamedRange,0))</formula>
    </cfRule>
  </conditionalFormatting>
  <conditionalFormatting sqref="IN14:IO14">
    <cfRule type="expression" dxfId="501" priority="654">
      <formula>AND(((COUNTIF(IN12:IN13,"O")+COUNTIF(IN12:IN13,"L")+COUNTIF(IN12:IN13,"H1")+COUNTIF(IN12:IN13,"H2")+COUNTIF(IN12:IN13,"OY")+COUNTIF(IN12:IN13,"M")+COUNTIF(IN12:IN13,"V")+COUNTIF(IN12:IN13,"P"))/2)&gt;=0,((COUNTIF(IN12:IN13,"O")+COUNTIF(IN12:IN13,"L")+COUNTIF(IN12:IN13,"H1")+COUNTIF(IN12:IN13,"H2")+COUNTIF(IN12:IN13,"OY")+COUNTIF(IN12:IN13,"M")+COUNTIF(IN12:IN13,"V")+COUNTIF(IN12:IN13,"P"))/2)&lt;=0.2)</formula>
    </cfRule>
    <cfRule type="expression" dxfId="500" priority="655">
      <formula>AND(((COUNTIF(IN12:IN13,"O")+COUNTIF(IN12:IN13,"L")+COUNTIF(IN12:IN13,"H1")+COUNTIF(IN12:IN13,"H2")+COUNTIF(IN12:IN13,"OY")+COUNTIF(IN12:IN13,"M")+COUNTIF(IN12:IN13,"V")+COUNTIF(IN12:IN13,"P"))/2)&gt;0.2,((COUNTIF(IN12:IN13,"O")+COUNTIF(IN12:IN13,"L")+COUNTIF(IN12:IN13,"H1")+COUNTIF(IN12:IN13,"H2")+COUNTIF(IN12:IN13,"OY")+COUNTIF(IN12:IN13,"M")+COUNTIF(IN12:IN13,"V")+COUNTIF(IN12:IN13,"P"))/2)&lt;=0.4)</formula>
    </cfRule>
    <cfRule type="expression" dxfId="499" priority="656">
      <formula>AND(((COUNTIF(IN12:IN13,"O")+COUNTIF(IN12:IN13,"L")+COUNTIF(IN12:IN13,"H1")+COUNTIF(IN12:IN13,"H2")+COUNTIF(IN12:IN13,"OY")+COUNTIF(IN12:IN13,"M")+COUNTIF(IN12:IN13,"V")+COUNTIF(IN12:IN13,"P"))/2)&gt;=0.4,((COUNTIF(IN12:IN13,"O")+COUNTIF(IN12:IN13,"L")+COUNTIF(IN12:IN13,"H1")+COUNTIF(IN12:IN13,"H2")+COUNTIF(IN12:IN13,"OY")+COUNTIF(IN12:IN13,"M")+COUNTIF(IN12:IN13,"V")+COUNTIF(IN12:IN13,"P"))/2)&lt;=1)</formula>
    </cfRule>
  </conditionalFormatting>
  <conditionalFormatting sqref="IN24:IO24">
    <cfRule type="expression" dxfId="498" priority="652" stopIfTrue="1">
      <formula>AND(IN$7&lt;&gt;"",VLOOKUP(IN$8,$NX$23:$NY$30,2,0)&lt;&gt;"Yes")</formula>
    </cfRule>
    <cfRule type="expression" dxfId="497" priority="653" stopIfTrue="1">
      <formula>ISNUMBER(MATCH(DATE($B$4,$B$3+$B$5-1,IN$7),HolidayListNamedRange,0))</formula>
    </cfRule>
  </conditionalFormatting>
  <conditionalFormatting sqref="IN24:IO24">
    <cfRule type="expression" dxfId="496" priority="649">
      <formula>AND(((COUNTIF(IN16:IN23,"O")+COUNTIF(IN16:IN23,"L")+COUNTIF(IN16:IN23,"H1")+COUNTIF(IN16:IN23,"H2")+COUNTIF(IN16:IN23,"OY")+COUNTIF(IN16:IN23,"M")+COUNTIF(IN16:IN23,"V")+COUNTIF(IN16:IN23,"P"))/8)&gt;=0,((COUNTIF(IN16:IN23,"O")+COUNTIF(IN16:IN23,"L")+COUNTIF(IN16:IN23,"H1")+COUNTIF(IN16:IN23,"H2")+COUNTIF(IN16:IN23,"OY")+COUNTIF(IN16:IN23,"M")+COUNTIF(IN16:IN23,"V")+COUNTIF(IN16:IN23,"P"))/8)&lt;=0.2)</formula>
    </cfRule>
    <cfRule type="expression" dxfId="495" priority="650">
      <formula>AND(((COUNTIF(IN16:IN23,"O")+COUNTIF(IN16:IN23,"L")+COUNTIF(IN16:IN23,"H1")+COUNTIF(IN16:IN23,"H2")+COUNTIF(IN16:IN23,"OY")+COUNTIF(IN16:IN23,"M")+COUNTIF(IN16:IN23,"V")+COUNTIF(IN16:IN23,"P"))/8)&gt;0.2,((COUNTIF(IN16:IN23,"O")+COUNTIF(IN16:IN23,"L")+COUNTIF(IN16:IN23,"H1")+COUNTIF(IN16:IN23,"H2")+COUNTIF(IN16:IN23,"OY")+COUNTIF(IN16:IN23,"M")+COUNTIF(IN16:IN23,"V")+COUNTIF(IN16:IN23,"P"))/8)&lt;=0.4)</formula>
    </cfRule>
    <cfRule type="expression" dxfId="494" priority="651">
      <formula>AND(((COUNTIF(IN16:IN23,"O")+COUNTIF(IN16:IN23,"L")+COUNTIF(IN16:IN23,"H1")+COUNTIF(IN16:IN23,"H2")+COUNTIF(IN16:IN23,"OY")+COUNTIF(IN16:IN23,"M")+COUNTIF(IN16:IN23,"V")+COUNTIF(IN16:IN23,"P"))/8)&gt;=0.4,((COUNTIF(IN16:IN23,"O")+COUNTIF(IN16:IN23,"L")+COUNTIF(IN16:IN23,"H1")+COUNTIF(IN16:IN23,"H2")+COUNTIF(IN16:IN23,"OY")+COUNTIF(IN16:IN23,"M")+COUNTIF(IN16:IN23,"V")+COUNTIF(IN16:IN23,"P"))/8)&lt;=1)</formula>
    </cfRule>
  </conditionalFormatting>
  <conditionalFormatting sqref="IP10:IQ13">
    <cfRule type="expression" dxfId="493" priority="637" stopIfTrue="1">
      <formula>AND(IP$7&lt;&gt;"",VLOOKUP(IP$8,$NX$25:$NY$32,2,0)&lt;&gt;"Yes")</formula>
    </cfRule>
    <cfRule type="expression" dxfId="492" priority="638" stopIfTrue="1">
      <formula>ISNUMBER(MATCH(DATE($B$4,$B$3+$B$5-1,IP$7),HolidayListNamedRange,0))</formula>
    </cfRule>
  </conditionalFormatting>
  <conditionalFormatting sqref="IP14:IQ14">
    <cfRule type="expression" dxfId="491" priority="635" stopIfTrue="1">
      <formula>AND(IP$7&lt;&gt;"",VLOOKUP(IP$8,$NX$23:$NY$30,2,0)&lt;&gt;"Yes")</formula>
    </cfRule>
    <cfRule type="expression" dxfId="490" priority="636" stopIfTrue="1">
      <formula>ISNUMBER(MATCH(DATE($B$4,$B$3+$B$5-1,IP$7),HolidayListNamedRange,0))</formula>
    </cfRule>
  </conditionalFormatting>
  <conditionalFormatting sqref="IP14:IQ14">
    <cfRule type="expression" dxfId="489" priority="632">
      <formula>AND(((COUNTIF(IP12:IP13,"O")+COUNTIF(IP12:IP13,"L")+COUNTIF(IP12:IP13,"H1")+COUNTIF(IP12:IP13,"H2")+COUNTIF(IP12:IP13,"OY")+COUNTIF(IP12:IP13,"M")+COUNTIF(IP12:IP13,"V")+COUNTIF(IP12:IP13,"P"))/2)&gt;=0,((COUNTIF(IP12:IP13,"O")+COUNTIF(IP12:IP13,"L")+COUNTIF(IP12:IP13,"H1")+COUNTIF(IP12:IP13,"H2")+COUNTIF(IP12:IP13,"OY")+COUNTIF(IP12:IP13,"M")+COUNTIF(IP12:IP13,"V")+COUNTIF(IP12:IP13,"P"))/2)&lt;=0.2)</formula>
    </cfRule>
    <cfRule type="expression" dxfId="488" priority="633">
      <formula>AND(((COUNTIF(IP12:IP13,"O")+COUNTIF(IP12:IP13,"L")+COUNTIF(IP12:IP13,"H1")+COUNTIF(IP12:IP13,"H2")+COUNTIF(IP12:IP13,"OY")+COUNTIF(IP12:IP13,"M")+COUNTIF(IP12:IP13,"V")+COUNTIF(IP12:IP13,"P"))/2)&gt;0.2,((COUNTIF(IP12:IP13,"O")+COUNTIF(IP12:IP13,"L")+COUNTIF(IP12:IP13,"H1")+COUNTIF(IP12:IP13,"H2")+COUNTIF(IP12:IP13,"OY")+COUNTIF(IP12:IP13,"M")+COUNTIF(IP12:IP13,"V")+COUNTIF(IP12:IP13,"P"))/2)&lt;=0.4)</formula>
    </cfRule>
    <cfRule type="expression" dxfId="487" priority="634">
      <formula>AND(((COUNTIF(IP12:IP13,"O")+COUNTIF(IP12:IP13,"L")+COUNTIF(IP12:IP13,"H1")+COUNTIF(IP12:IP13,"H2")+COUNTIF(IP12:IP13,"OY")+COUNTIF(IP12:IP13,"M")+COUNTIF(IP12:IP13,"V")+COUNTIF(IP12:IP13,"P"))/2)&gt;=0.4,((COUNTIF(IP12:IP13,"O")+COUNTIF(IP12:IP13,"L")+COUNTIF(IP12:IP13,"H1")+COUNTIF(IP12:IP13,"H2")+COUNTIF(IP12:IP13,"OY")+COUNTIF(IP12:IP13,"M")+COUNTIF(IP12:IP13,"V")+COUNTIF(IP12:IP13,"P"))/2)&lt;=1)</formula>
    </cfRule>
  </conditionalFormatting>
  <conditionalFormatting sqref="IP24:IQ24">
    <cfRule type="expression" dxfId="486" priority="630" stopIfTrue="1">
      <formula>AND(IP$7&lt;&gt;"",VLOOKUP(IP$8,$NX$23:$NY$30,2,0)&lt;&gt;"Yes")</formula>
    </cfRule>
    <cfRule type="expression" dxfId="485" priority="631" stopIfTrue="1">
      <formula>ISNUMBER(MATCH(DATE($B$4,$B$3+$B$5-1,IP$7),HolidayListNamedRange,0))</formula>
    </cfRule>
  </conditionalFormatting>
  <conditionalFormatting sqref="IP24:IQ24">
    <cfRule type="expression" dxfId="484" priority="627">
      <formula>AND(((COUNTIF(IP16:IP23,"O")+COUNTIF(IP16:IP23,"L")+COUNTIF(IP16:IP23,"H1")+COUNTIF(IP16:IP23,"H2")+COUNTIF(IP16:IP23,"OY")+COUNTIF(IP16:IP23,"M")+COUNTIF(IP16:IP23,"V")+COUNTIF(IP16:IP23,"P"))/8)&gt;=0,((COUNTIF(IP16:IP23,"O")+COUNTIF(IP16:IP23,"L")+COUNTIF(IP16:IP23,"H1")+COUNTIF(IP16:IP23,"H2")+COUNTIF(IP16:IP23,"OY")+COUNTIF(IP16:IP23,"M")+COUNTIF(IP16:IP23,"V")+COUNTIF(IP16:IP23,"P"))/8)&lt;=0.2)</formula>
    </cfRule>
    <cfRule type="expression" dxfId="483" priority="628">
      <formula>AND(((COUNTIF(IP16:IP23,"O")+COUNTIF(IP16:IP23,"L")+COUNTIF(IP16:IP23,"H1")+COUNTIF(IP16:IP23,"H2")+COUNTIF(IP16:IP23,"OY")+COUNTIF(IP16:IP23,"M")+COUNTIF(IP16:IP23,"V")+COUNTIF(IP16:IP23,"P"))/8)&gt;0.2,((COUNTIF(IP16:IP23,"O")+COUNTIF(IP16:IP23,"L")+COUNTIF(IP16:IP23,"H1")+COUNTIF(IP16:IP23,"H2")+COUNTIF(IP16:IP23,"OY")+COUNTIF(IP16:IP23,"M")+COUNTIF(IP16:IP23,"V")+COUNTIF(IP16:IP23,"P"))/8)&lt;=0.4)</formula>
    </cfRule>
    <cfRule type="expression" dxfId="482" priority="629">
      <formula>AND(((COUNTIF(IP16:IP23,"O")+COUNTIF(IP16:IP23,"L")+COUNTIF(IP16:IP23,"H1")+COUNTIF(IP16:IP23,"H2")+COUNTIF(IP16:IP23,"OY")+COUNTIF(IP16:IP23,"M")+COUNTIF(IP16:IP23,"V")+COUNTIF(IP16:IP23,"P"))/8)&gt;=0.4,((COUNTIF(IP16:IP23,"O")+COUNTIF(IP16:IP23,"L")+COUNTIF(IP16:IP23,"H1")+COUNTIF(IP16:IP23,"H2")+COUNTIF(IP16:IP23,"OY")+COUNTIF(IP16:IP23,"M")+COUNTIF(IP16:IP23,"V")+COUNTIF(IP16:IP23,"P"))/8)&lt;=1)</formula>
    </cfRule>
  </conditionalFormatting>
  <conditionalFormatting sqref="IU10:IX13">
    <cfRule type="expression" dxfId="481" priority="615" stopIfTrue="1">
      <formula>AND(IU$7&lt;&gt;"",VLOOKUP(IU$8,$NX$25:$NY$32,2,0)&lt;&gt;"Yes")</formula>
    </cfRule>
    <cfRule type="expression" dxfId="480" priority="616" stopIfTrue="1">
      <formula>ISNUMBER(MATCH(DATE($B$4,$B$3+$B$5-1,IU$7),HolidayListNamedRange,0))</formula>
    </cfRule>
  </conditionalFormatting>
  <conditionalFormatting sqref="IU14:IX14">
    <cfRule type="expression" dxfId="479" priority="613" stopIfTrue="1">
      <formula>AND(IU$7&lt;&gt;"",VLOOKUP(IU$8,$NX$23:$NY$30,2,0)&lt;&gt;"Yes")</formula>
    </cfRule>
    <cfRule type="expression" dxfId="478" priority="614" stopIfTrue="1">
      <formula>ISNUMBER(MATCH(DATE($B$4,$B$3+$B$5-1,IU$7),HolidayListNamedRange,0))</formula>
    </cfRule>
  </conditionalFormatting>
  <conditionalFormatting sqref="IU14:IX14">
    <cfRule type="expression" dxfId="477" priority="610">
      <formula>AND(((COUNTIF(IU12:IU13,"O")+COUNTIF(IU12:IU13,"L")+COUNTIF(IU12:IU13,"H1")+COUNTIF(IU12:IU13,"H2")+COUNTIF(IU12:IU13,"OY")+COUNTIF(IU12:IU13,"M")+COUNTIF(IU12:IU13,"V")+COUNTIF(IU12:IU13,"P"))/2)&gt;=0,((COUNTIF(IU12:IU13,"O")+COUNTIF(IU12:IU13,"L")+COUNTIF(IU12:IU13,"H1")+COUNTIF(IU12:IU13,"H2")+COUNTIF(IU12:IU13,"OY")+COUNTIF(IU12:IU13,"M")+COUNTIF(IU12:IU13,"V")+COUNTIF(IU12:IU13,"P"))/2)&lt;=0.2)</formula>
    </cfRule>
    <cfRule type="expression" dxfId="476" priority="611">
      <formula>AND(((COUNTIF(IU12:IU13,"O")+COUNTIF(IU12:IU13,"L")+COUNTIF(IU12:IU13,"H1")+COUNTIF(IU12:IU13,"H2")+COUNTIF(IU12:IU13,"OY")+COUNTIF(IU12:IU13,"M")+COUNTIF(IU12:IU13,"V")+COUNTIF(IU12:IU13,"P"))/2)&gt;0.2,((COUNTIF(IU12:IU13,"O")+COUNTIF(IU12:IU13,"L")+COUNTIF(IU12:IU13,"H1")+COUNTIF(IU12:IU13,"H2")+COUNTIF(IU12:IU13,"OY")+COUNTIF(IU12:IU13,"M")+COUNTIF(IU12:IU13,"V")+COUNTIF(IU12:IU13,"P"))/2)&lt;=0.4)</formula>
    </cfRule>
    <cfRule type="expression" dxfId="475" priority="612">
      <formula>AND(((COUNTIF(IU12:IU13,"O")+COUNTIF(IU12:IU13,"L")+COUNTIF(IU12:IU13,"H1")+COUNTIF(IU12:IU13,"H2")+COUNTIF(IU12:IU13,"OY")+COUNTIF(IU12:IU13,"M")+COUNTIF(IU12:IU13,"V")+COUNTIF(IU12:IU13,"P"))/2)&gt;=0.4,((COUNTIF(IU12:IU13,"O")+COUNTIF(IU12:IU13,"L")+COUNTIF(IU12:IU13,"H1")+COUNTIF(IU12:IU13,"H2")+COUNTIF(IU12:IU13,"OY")+COUNTIF(IU12:IU13,"M")+COUNTIF(IU12:IU13,"V")+COUNTIF(IU12:IU13,"P"))/2)&lt;=1)</formula>
    </cfRule>
  </conditionalFormatting>
  <conditionalFormatting sqref="IU24:IX24">
    <cfRule type="expression" dxfId="474" priority="608" stopIfTrue="1">
      <formula>AND(IU$7&lt;&gt;"",VLOOKUP(IU$8,$NX$23:$NY$30,2,0)&lt;&gt;"Yes")</formula>
    </cfRule>
    <cfRule type="expression" dxfId="473" priority="609" stopIfTrue="1">
      <formula>ISNUMBER(MATCH(DATE($B$4,$B$3+$B$5-1,IU$7),HolidayListNamedRange,0))</formula>
    </cfRule>
  </conditionalFormatting>
  <conditionalFormatting sqref="IU24:IX24">
    <cfRule type="expression" dxfId="472" priority="605">
      <formula>AND(((COUNTIF(IU16:IU23,"O")+COUNTIF(IU16:IU23,"L")+COUNTIF(IU16:IU23,"H1")+COUNTIF(IU16:IU23,"H2")+COUNTIF(IU16:IU23,"OY")+COUNTIF(IU16:IU23,"M")+COUNTIF(IU16:IU23,"V")+COUNTIF(IU16:IU23,"P"))/8)&gt;=0,((COUNTIF(IU16:IU23,"O")+COUNTIF(IU16:IU23,"L")+COUNTIF(IU16:IU23,"H1")+COUNTIF(IU16:IU23,"H2")+COUNTIF(IU16:IU23,"OY")+COUNTIF(IU16:IU23,"M")+COUNTIF(IU16:IU23,"V")+COUNTIF(IU16:IU23,"P"))/8)&lt;=0.2)</formula>
    </cfRule>
    <cfRule type="expression" dxfId="471" priority="606">
      <formula>AND(((COUNTIF(IU16:IU23,"O")+COUNTIF(IU16:IU23,"L")+COUNTIF(IU16:IU23,"H1")+COUNTIF(IU16:IU23,"H2")+COUNTIF(IU16:IU23,"OY")+COUNTIF(IU16:IU23,"M")+COUNTIF(IU16:IU23,"V")+COUNTIF(IU16:IU23,"P"))/8)&gt;0.2,((COUNTIF(IU16:IU23,"O")+COUNTIF(IU16:IU23,"L")+COUNTIF(IU16:IU23,"H1")+COUNTIF(IU16:IU23,"H2")+COUNTIF(IU16:IU23,"OY")+COUNTIF(IU16:IU23,"M")+COUNTIF(IU16:IU23,"V")+COUNTIF(IU16:IU23,"P"))/8)&lt;=0.4)</formula>
    </cfRule>
    <cfRule type="expression" dxfId="470" priority="607">
      <formula>AND(((COUNTIF(IU16:IU23,"O")+COUNTIF(IU16:IU23,"L")+COUNTIF(IU16:IU23,"H1")+COUNTIF(IU16:IU23,"H2")+COUNTIF(IU16:IU23,"OY")+COUNTIF(IU16:IU23,"M")+COUNTIF(IU16:IU23,"V")+COUNTIF(IU16:IU23,"P"))/8)&gt;=0.4,((COUNTIF(IU16:IU23,"O")+COUNTIF(IU16:IU23,"L")+COUNTIF(IU16:IU23,"H1")+COUNTIF(IU16:IU23,"H2")+COUNTIF(IU16:IU23,"OY")+COUNTIF(IU16:IU23,"M")+COUNTIF(IU16:IU23,"V")+COUNTIF(IU16:IU23,"P"))/8)&lt;=1)</formula>
    </cfRule>
  </conditionalFormatting>
  <conditionalFormatting sqref="JA10:JE13">
    <cfRule type="expression" dxfId="469" priority="593" stopIfTrue="1">
      <formula>AND(JA$7&lt;&gt;"",VLOOKUP(JA$8,$NX$25:$NY$32,2,0)&lt;&gt;"Yes")</formula>
    </cfRule>
    <cfRule type="expression" dxfId="468" priority="594" stopIfTrue="1">
      <formula>ISNUMBER(MATCH(DATE($B$4,$B$3+$B$5-1,JA$7),HolidayListNamedRange,0))</formula>
    </cfRule>
  </conditionalFormatting>
  <conditionalFormatting sqref="JA14:JE14">
    <cfRule type="expression" dxfId="467" priority="591" stopIfTrue="1">
      <formula>AND(JA$7&lt;&gt;"",VLOOKUP(JA$8,$NX$23:$NY$30,2,0)&lt;&gt;"Yes")</formula>
    </cfRule>
    <cfRule type="expression" dxfId="466" priority="592" stopIfTrue="1">
      <formula>ISNUMBER(MATCH(DATE($B$4,$B$3+$B$5-1,JA$7),HolidayListNamedRange,0))</formula>
    </cfRule>
  </conditionalFormatting>
  <conditionalFormatting sqref="JA14:JE14">
    <cfRule type="expression" dxfId="465" priority="588">
      <formula>AND(((COUNTIF(JA12:JA13,"O")+COUNTIF(JA12:JA13,"L")+COUNTIF(JA12:JA13,"H1")+COUNTIF(JA12:JA13,"H2")+COUNTIF(JA12:JA13,"OY")+COUNTIF(JA12:JA13,"M")+COUNTIF(JA12:JA13,"V")+COUNTIF(JA12:JA13,"P"))/2)&gt;=0,((COUNTIF(JA12:JA13,"O")+COUNTIF(JA12:JA13,"L")+COUNTIF(JA12:JA13,"H1")+COUNTIF(JA12:JA13,"H2")+COUNTIF(JA12:JA13,"OY")+COUNTIF(JA12:JA13,"M")+COUNTIF(JA12:JA13,"V")+COUNTIF(JA12:JA13,"P"))/2)&lt;=0.2)</formula>
    </cfRule>
    <cfRule type="expression" dxfId="464" priority="589">
      <formula>AND(((COUNTIF(JA12:JA13,"O")+COUNTIF(JA12:JA13,"L")+COUNTIF(JA12:JA13,"H1")+COUNTIF(JA12:JA13,"H2")+COUNTIF(JA12:JA13,"OY")+COUNTIF(JA12:JA13,"M")+COUNTIF(JA12:JA13,"V")+COUNTIF(JA12:JA13,"P"))/2)&gt;0.2,((COUNTIF(JA12:JA13,"O")+COUNTIF(JA12:JA13,"L")+COUNTIF(JA12:JA13,"H1")+COUNTIF(JA12:JA13,"H2")+COUNTIF(JA12:JA13,"OY")+COUNTIF(JA12:JA13,"M")+COUNTIF(JA12:JA13,"V")+COUNTIF(JA12:JA13,"P"))/2)&lt;=0.4)</formula>
    </cfRule>
    <cfRule type="expression" dxfId="463" priority="590">
      <formula>AND(((COUNTIF(JA12:JA13,"O")+COUNTIF(JA12:JA13,"L")+COUNTIF(JA12:JA13,"H1")+COUNTIF(JA12:JA13,"H2")+COUNTIF(JA12:JA13,"OY")+COUNTIF(JA12:JA13,"M")+COUNTIF(JA12:JA13,"V")+COUNTIF(JA12:JA13,"P"))/2)&gt;=0.4,((COUNTIF(JA12:JA13,"O")+COUNTIF(JA12:JA13,"L")+COUNTIF(JA12:JA13,"H1")+COUNTIF(JA12:JA13,"H2")+COUNTIF(JA12:JA13,"OY")+COUNTIF(JA12:JA13,"M")+COUNTIF(JA12:JA13,"V")+COUNTIF(JA12:JA13,"P"))/2)&lt;=1)</formula>
    </cfRule>
  </conditionalFormatting>
  <conditionalFormatting sqref="JA24:JE24">
    <cfRule type="expression" dxfId="462" priority="586" stopIfTrue="1">
      <formula>AND(JA$7&lt;&gt;"",VLOOKUP(JA$8,$NX$23:$NY$30,2,0)&lt;&gt;"Yes")</formula>
    </cfRule>
    <cfRule type="expression" dxfId="461" priority="587" stopIfTrue="1">
      <formula>ISNUMBER(MATCH(DATE($B$4,$B$3+$B$5-1,JA$7),HolidayListNamedRange,0))</formula>
    </cfRule>
  </conditionalFormatting>
  <conditionalFormatting sqref="JA24:JE24">
    <cfRule type="expression" dxfId="460" priority="583">
      <formula>AND(((COUNTIF(JA16:JA23,"O")+COUNTIF(JA16:JA23,"L")+COUNTIF(JA16:JA23,"H1")+COUNTIF(JA16:JA23,"H2")+COUNTIF(JA16:JA23,"OY")+COUNTIF(JA16:JA23,"M")+COUNTIF(JA16:JA23,"V")+COUNTIF(JA16:JA23,"P"))/8)&gt;=0,((COUNTIF(JA16:JA23,"O")+COUNTIF(JA16:JA23,"L")+COUNTIF(JA16:JA23,"H1")+COUNTIF(JA16:JA23,"H2")+COUNTIF(JA16:JA23,"OY")+COUNTIF(JA16:JA23,"M")+COUNTIF(JA16:JA23,"V")+COUNTIF(JA16:JA23,"P"))/8)&lt;=0.2)</formula>
    </cfRule>
    <cfRule type="expression" dxfId="459" priority="584">
      <formula>AND(((COUNTIF(JA16:JA23,"O")+COUNTIF(JA16:JA23,"L")+COUNTIF(JA16:JA23,"H1")+COUNTIF(JA16:JA23,"H2")+COUNTIF(JA16:JA23,"OY")+COUNTIF(JA16:JA23,"M")+COUNTIF(JA16:JA23,"V")+COUNTIF(JA16:JA23,"P"))/8)&gt;0.2,((COUNTIF(JA16:JA23,"O")+COUNTIF(JA16:JA23,"L")+COUNTIF(JA16:JA23,"H1")+COUNTIF(JA16:JA23,"H2")+COUNTIF(JA16:JA23,"OY")+COUNTIF(JA16:JA23,"M")+COUNTIF(JA16:JA23,"V")+COUNTIF(JA16:JA23,"P"))/8)&lt;=0.4)</formula>
    </cfRule>
    <cfRule type="expression" dxfId="458" priority="585">
      <formula>AND(((COUNTIF(JA16:JA23,"O")+COUNTIF(JA16:JA23,"L")+COUNTIF(JA16:JA23,"H1")+COUNTIF(JA16:JA23,"H2")+COUNTIF(JA16:JA23,"OY")+COUNTIF(JA16:JA23,"M")+COUNTIF(JA16:JA23,"V")+COUNTIF(JA16:JA23,"P"))/8)&gt;=0.4,((COUNTIF(JA16:JA23,"O")+COUNTIF(JA16:JA23,"L")+COUNTIF(JA16:JA23,"H1")+COUNTIF(JA16:JA23,"H2")+COUNTIF(JA16:JA23,"OY")+COUNTIF(JA16:JA23,"M")+COUNTIF(JA16:JA23,"V")+COUNTIF(JA16:JA23,"P"))/8)&lt;=1)</formula>
    </cfRule>
  </conditionalFormatting>
  <conditionalFormatting sqref="JH10:JL13">
    <cfRule type="expression" dxfId="457" priority="571" stopIfTrue="1">
      <formula>AND(JH$7&lt;&gt;"",VLOOKUP(JH$8,$NX$25:$NY$32,2,0)&lt;&gt;"Yes")</formula>
    </cfRule>
    <cfRule type="expression" dxfId="456" priority="572" stopIfTrue="1">
      <formula>ISNUMBER(MATCH(DATE($B$4,$B$3+$B$5-1,JH$7),HolidayListNamedRange,0))</formula>
    </cfRule>
  </conditionalFormatting>
  <conditionalFormatting sqref="JH14:JL14">
    <cfRule type="expression" dxfId="455" priority="569" stopIfTrue="1">
      <formula>AND(JH$7&lt;&gt;"",VLOOKUP(JH$8,$NX$23:$NY$30,2,0)&lt;&gt;"Yes")</formula>
    </cfRule>
    <cfRule type="expression" dxfId="454" priority="570" stopIfTrue="1">
      <formula>ISNUMBER(MATCH(DATE($B$4,$B$3+$B$5-1,JH$7),HolidayListNamedRange,0))</formula>
    </cfRule>
  </conditionalFormatting>
  <conditionalFormatting sqref="JH14:JL14">
    <cfRule type="expression" dxfId="453" priority="566">
      <formula>AND(((COUNTIF(JH12:JH13,"O")+COUNTIF(JH12:JH13,"L")+COUNTIF(JH12:JH13,"H1")+COUNTIF(JH12:JH13,"H2")+COUNTIF(JH12:JH13,"OY")+COUNTIF(JH12:JH13,"M")+COUNTIF(JH12:JH13,"V")+COUNTIF(JH12:JH13,"P"))/2)&gt;=0,((COUNTIF(JH12:JH13,"O")+COUNTIF(JH12:JH13,"L")+COUNTIF(JH12:JH13,"H1")+COUNTIF(JH12:JH13,"H2")+COUNTIF(JH12:JH13,"OY")+COUNTIF(JH12:JH13,"M")+COUNTIF(JH12:JH13,"V")+COUNTIF(JH12:JH13,"P"))/2)&lt;=0.2)</formula>
    </cfRule>
    <cfRule type="expression" dxfId="452" priority="567">
      <formula>AND(((COUNTIF(JH12:JH13,"O")+COUNTIF(JH12:JH13,"L")+COUNTIF(JH12:JH13,"H1")+COUNTIF(JH12:JH13,"H2")+COUNTIF(JH12:JH13,"OY")+COUNTIF(JH12:JH13,"M")+COUNTIF(JH12:JH13,"V")+COUNTIF(JH12:JH13,"P"))/2)&gt;0.2,((COUNTIF(JH12:JH13,"O")+COUNTIF(JH12:JH13,"L")+COUNTIF(JH12:JH13,"H1")+COUNTIF(JH12:JH13,"H2")+COUNTIF(JH12:JH13,"OY")+COUNTIF(JH12:JH13,"M")+COUNTIF(JH12:JH13,"V")+COUNTIF(JH12:JH13,"P"))/2)&lt;=0.4)</formula>
    </cfRule>
    <cfRule type="expression" dxfId="451" priority="568">
      <formula>AND(((COUNTIF(JH12:JH13,"O")+COUNTIF(JH12:JH13,"L")+COUNTIF(JH12:JH13,"H1")+COUNTIF(JH12:JH13,"H2")+COUNTIF(JH12:JH13,"OY")+COUNTIF(JH12:JH13,"M")+COUNTIF(JH12:JH13,"V")+COUNTIF(JH12:JH13,"P"))/2)&gt;=0.4,((COUNTIF(JH12:JH13,"O")+COUNTIF(JH12:JH13,"L")+COUNTIF(JH12:JH13,"H1")+COUNTIF(JH12:JH13,"H2")+COUNTIF(JH12:JH13,"OY")+COUNTIF(JH12:JH13,"M")+COUNTIF(JH12:JH13,"V")+COUNTIF(JH12:JH13,"P"))/2)&lt;=1)</formula>
    </cfRule>
  </conditionalFormatting>
  <conditionalFormatting sqref="JH24:JL24">
    <cfRule type="expression" dxfId="450" priority="564" stopIfTrue="1">
      <formula>AND(JH$7&lt;&gt;"",VLOOKUP(JH$8,$NX$23:$NY$30,2,0)&lt;&gt;"Yes")</formula>
    </cfRule>
    <cfRule type="expression" dxfId="449" priority="565" stopIfTrue="1">
      <formula>ISNUMBER(MATCH(DATE($B$4,$B$3+$B$5-1,JH$7),HolidayListNamedRange,0))</formula>
    </cfRule>
  </conditionalFormatting>
  <conditionalFormatting sqref="JH24:JL24">
    <cfRule type="expression" dxfId="448" priority="561">
      <formula>AND(((COUNTIF(JH16:JH23,"O")+COUNTIF(JH16:JH23,"L")+COUNTIF(JH16:JH23,"H1")+COUNTIF(JH16:JH23,"H2")+COUNTIF(JH16:JH23,"OY")+COUNTIF(JH16:JH23,"M")+COUNTIF(JH16:JH23,"V")+COUNTIF(JH16:JH23,"P"))/8)&gt;=0,((COUNTIF(JH16:JH23,"O")+COUNTIF(JH16:JH23,"L")+COUNTIF(JH16:JH23,"H1")+COUNTIF(JH16:JH23,"H2")+COUNTIF(JH16:JH23,"OY")+COUNTIF(JH16:JH23,"M")+COUNTIF(JH16:JH23,"V")+COUNTIF(JH16:JH23,"P"))/8)&lt;=0.2)</formula>
    </cfRule>
    <cfRule type="expression" dxfId="447" priority="562">
      <formula>AND(((COUNTIF(JH16:JH23,"O")+COUNTIF(JH16:JH23,"L")+COUNTIF(JH16:JH23,"H1")+COUNTIF(JH16:JH23,"H2")+COUNTIF(JH16:JH23,"OY")+COUNTIF(JH16:JH23,"M")+COUNTIF(JH16:JH23,"V")+COUNTIF(JH16:JH23,"P"))/8)&gt;0.2,((COUNTIF(JH16:JH23,"O")+COUNTIF(JH16:JH23,"L")+COUNTIF(JH16:JH23,"H1")+COUNTIF(JH16:JH23,"H2")+COUNTIF(JH16:JH23,"OY")+COUNTIF(JH16:JH23,"M")+COUNTIF(JH16:JH23,"V")+COUNTIF(JH16:JH23,"P"))/8)&lt;=0.4)</formula>
    </cfRule>
    <cfRule type="expression" dxfId="446" priority="563">
      <formula>AND(((COUNTIF(JH16:JH23,"O")+COUNTIF(JH16:JH23,"L")+COUNTIF(JH16:JH23,"H1")+COUNTIF(JH16:JH23,"H2")+COUNTIF(JH16:JH23,"OY")+COUNTIF(JH16:JH23,"M")+COUNTIF(JH16:JH23,"V")+COUNTIF(JH16:JH23,"P"))/8)&gt;=0.4,((COUNTIF(JH16:JH23,"O")+COUNTIF(JH16:JH23,"L")+COUNTIF(JH16:JH23,"H1")+COUNTIF(JH16:JH23,"H2")+COUNTIF(JH16:JH23,"OY")+COUNTIF(JH16:JH23,"M")+COUNTIF(JH16:JH23,"V")+COUNTIF(JH16:JH23,"P"))/8)&lt;=1)</formula>
    </cfRule>
  </conditionalFormatting>
  <conditionalFormatting sqref="JO10:JR13">
    <cfRule type="expression" dxfId="445" priority="549" stopIfTrue="1">
      <formula>AND(JO$7&lt;&gt;"",VLOOKUP(JO$8,$NX$25:$NY$32,2,0)&lt;&gt;"Yes")</formula>
    </cfRule>
    <cfRule type="expression" dxfId="444" priority="550" stopIfTrue="1">
      <formula>ISNUMBER(MATCH(DATE($B$4,$B$3+$B$5-1,JO$7),HolidayListNamedRange,0))</formula>
    </cfRule>
  </conditionalFormatting>
  <conditionalFormatting sqref="JO14:JR14">
    <cfRule type="expression" dxfId="443" priority="547" stopIfTrue="1">
      <formula>AND(JO$7&lt;&gt;"",VLOOKUP(JO$8,$NX$23:$NY$30,2,0)&lt;&gt;"Yes")</formula>
    </cfRule>
    <cfRule type="expression" dxfId="442" priority="548" stopIfTrue="1">
      <formula>ISNUMBER(MATCH(DATE($B$4,$B$3+$B$5-1,JO$7),HolidayListNamedRange,0))</formula>
    </cfRule>
  </conditionalFormatting>
  <conditionalFormatting sqref="JO14:JR14">
    <cfRule type="expression" dxfId="441" priority="544">
      <formula>AND(((COUNTIF(JO12:JO13,"O")+COUNTIF(JO12:JO13,"L")+COUNTIF(JO12:JO13,"H1")+COUNTIF(JO12:JO13,"H2")+COUNTIF(JO12:JO13,"OY")+COUNTIF(JO12:JO13,"M")+COUNTIF(JO12:JO13,"V")+COUNTIF(JO12:JO13,"P"))/2)&gt;=0,((COUNTIF(JO12:JO13,"O")+COUNTIF(JO12:JO13,"L")+COUNTIF(JO12:JO13,"H1")+COUNTIF(JO12:JO13,"H2")+COUNTIF(JO12:JO13,"OY")+COUNTIF(JO12:JO13,"M")+COUNTIF(JO12:JO13,"V")+COUNTIF(JO12:JO13,"P"))/2)&lt;=0.2)</formula>
    </cfRule>
    <cfRule type="expression" dxfId="440" priority="545">
      <formula>AND(((COUNTIF(JO12:JO13,"O")+COUNTIF(JO12:JO13,"L")+COUNTIF(JO12:JO13,"H1")+COUNTIF(JO12:JO13,"H2")+COUNTIF(JO12:JO13,"OY")+COUNTIF(JO12:JO13,"M")+COUNTIF(JO12:JO13,"V")+COUNTIF(JO12:JO13,"P"))/2)&gt;0.2,((COUNTIF(JO12:JO13,"O")+COUNTIF(JO12:JO13,"L")+COUNTIF(JO12:JO13,"H1")+COUNTIF(JO12:JO13,"H2")+COUNTIF(JO12:JO13,"OY")+COUNTIF(JO12:JO13,"M")+COUNTIF(JO12:JO13,"V")+COUNTIF(JO12:JO13,"P"))/2)&lt;=0.4)</formula>
    </cfRule>
    <cfRule type="expression" dxfId="439" priority="546">
      <formula>AND(((COUNTIF(JO12:JO13,"O")+COUNTIF(JO12:JO13,"L")+COUNTIF(JO12:JO13,"H1")+COUNTIF(JO12:JO13,"H2")+COUNTIF(JO12:JO13,"OY")+COUNTIF(JO12:JO13,"M")+COUNTIF(JO12:JO13,"V")+COUNTIF(JO12:JO13,"P"))/2)&gt;=0.4,((COUNTIF(JO12:JO13,"O")+COUNTIF(JO12:JO13,"L")+COUNTIF(JO12:JO13,"H1")+COUNTIF(JO12:JO13,"H2")+COUNTIF(JO12:JO13,"OY")+COUNTIF(JO12:JO13,"M")+COUNTIF(JO12:JO13,"V")+COUNTIF(JO12:JO13,"P"))/2)&lt;=1)</formula>
    </cfRule>
  </conditionalFormatting>
  <conditionalFormatting sqref="JO24:JR24">
    <cfRule type="expression" dxfId="438" priority="542" stopIfTrue="1">
      <formula>AND(JO$7&lt;&gt;"",VLOOKUP(JO$8,$NX$23:$NY$30,2,0)&lt;&gt;"Yes")</formula>
    </cfRule>
    <cfRule type="expression" dxfId="437" priority="543" stopIfTrue="1">
      <formula>ISNUMBER(MATCH(DATE($B$4,$B$3+$B$5-1,JO$7),HolidayListNamedRange,0))</formula>
    </cfRule>
  </conditionalFormatting>
  <conditionalFormatting sqref="JO24:JR24">
    <cfRule type="expression" dxfId="436" priority="539">
      <formula>AND(((COUNTIF(JO16:JO23,"O")+COUNTIF(JO16:JO23,"L")+COUNTIF(JO16:JO23,"H1")+COUNTIF(JO16:JO23,"H2")+COUNTIF(JO16:JO23,"OY")+COUNTIF(JO16:JO23,"M")+COUNTIF(JO16:JO23,"V")+COUNTIF(JO16:JO23,"P"))/8)&gt;=0,((COUNTIF(JO16:JO23,"O")+COUNTIF(JO16:JO23,"L")+COUNTIF(JO16:JO23,"H1")+COUNTIF(JO16:JO23,"H2")+COUNTIF(JO16:JO23,"OY")+COUNTIF(JO16:JO23,"M")+COUNTIF(JO16:JO23,"V")+COUNTIF(JO16:JO23,"P"))/8)&lt;=0.2)</formula>
    </cfRule>
    <cfRule type="expression" dxfId="435" priority="540">
      <formula>AND(((COUNTIF(JO16:JO23,"O")+COUNTIF(JO16:JO23,"L")+COUNTIF(JO16:JO23,"H1")+COUNTIF(JO16:JO23,"H2")+COUNTIF(JO16:JO23,"OY")+COUNTIF(JO16:JO23,"M")+COUNTIF(JO16:JO23,"V")+COUNTIF(JO16:JO23,"P"))/8)&gt;0.2,((COUNTIF(JO16:JO23,"O")+COUNTIF(JO16:JO23,"L")+COUNTIF(JO16:JO23,"H1")+COUNTIF(JO16:JO23,"H2")+COUNTIF(JO16:JO23,"OY")+COUNTIF(JO16:JO23,"M")+COUNTIF(JO16:JO23,"V")+COUNTIF(JO16:JO23,"P"))/8)&lt;=0.4)</formula>
    </cfRule>
    <cfRule type="expression" dxfId="434" priority="541">
      <formula>AND(((COUNTIF(JO16:JO23,"O")+COUNTIF(JO16:JO23,"L")+COUNTIF(JO16:JO23,"H1")+COUNTIF(JO16:JO23,"H2")+COUNTIF(JO16:JO23,"OY")+COUNTIF(JO16:JO23,"M")+COUNTIF(JO16:JO23,"V")+COUNTIF(JO16:JO23,"P"))/8)&gt;=0.4,((COUNTIF(JO16:JO23,"O")+COUNTIF(JO16:JO23,"L")+COUNTIF(JO16:JO23,"H1")+COUNTIF(JO16:JO23,"H2")+COUNTIF(JO16:JO23,"OY")+COUNTIF(JO16:JO23,"M")+COUNTIF(JO16:JO23,"V")+COUNTIF(JO16:JO23,"P"))/8)&lt;=1)</formula>
    </cfRule>
  </conditionalFormatting>
  <conditionalFormatting sqref="JT10:JT13">
    <cfRule type="expression" dxfId="433" priority="527" stopIfTrue="1">
      <formula>AND(JT$7&lt;&gt;"",VLOOKUP(JT$8,$NX$25:$NY$32,2,0)&lt;&gt;"Yes")</formula>
    </cfRule>
    <cfRule type="expression" dxfId="432" priority="528" stopIfTrue="1">
      <formula>ISNUMBER(MATCH(DATE($B$4,$B$3+$B$5-1,JT$7),HolidayListNamedRange,0))</formula>
    </cfRule>
  </conditionalFormatting>
  <conditionalFormatting sqref="JT14">
    <cfRule type="expression" dxfId="431" priority="525" stopIfTrue="1">
      <formula>AND(JT$7&lt;&gt;"",VLOOKUP(JT$8,$NX$23:$NY$30,2,0)&lt;&gt;"Yes")</formula>
    </cfRule>
    <cfRule type="expression" dxfId="430" priority="526" stopIfTrue="1">
      <formula>ISNUMBER(MATCH(DATE($B$4,$B$3+$B$5-1,JT$7),HolidayListNamedRange,0))</formula>
    </cfRule>
  </conditionalFormatting>
  <conditionalFormatting sqref="JT14">
    <cfRule type="expression" dxfId="429" priority="522">
      <formula>AND(((COUNTIF(JT12:JT13,"O")+COUNTIF(JT12:JT13,"L")+COUNTIF(JT12:JT13,"H1")+COUNTIF(JT12:JT13,"H2")+COUNTIF(JT12:JT13,"OY")+COUNTIF(JT12:JT13,"M")+COUNTIF(JT12:JT13,"V")+COUNTIF(JT12:JT13,"P"))/2)&gt;=0,((COUNTIF(JT12:JT13,"O")+COUNTIF(JT12:JT13,"L")+COUNTIF(JT12:JT13,"H1")+COUNTIF(JT12:JT13,"H2")+COUNTIF(JT12:JT13,"OY")+COUNTIF(JT12:JT13,"M")+COUNTIF(JT12:JT13,"V")+COUNTIF(JT12:JT13,"P"))/2)&lt;=0.2)</formula>
    </cfRule>
    <cfRule type="expression" dxfId="428" priority="523">
      <formula>AND(((COUNTIF(JT12:JT13,"O")+COUNTIF(JT12:JT13,"L")+COUNTIF(JT12:JT13,"H1")+COUNTIF(JT12:JT13,"H2")+COUNTIF(JT12:JT13,"OY")+COUNTIF(JT12:JT13,"M")+COUNTIF(JT12:JT13,"V")+COUNTIF(JT12:JT13,"P"))/2)&gt;0.2,((COUNTIF(JT12:JT13,"O")+COUNTIF(JT12:JT13,"L")+COUNTIF(JT12:JT13,"H1")+COUNTIF(JT12:JT13,"H2")+COUNTIF(JT12:JT13,"OY")+COUNTIF(JT12:JT13,"M")+COUNTIF(JT12:JT13,"V")+COUNTIF(JT12:JT13,"P"))/2)&lt;=0.4)</formula>
    </cfRule>
    <cfRule type="expression" dxfId="427" priority="524">
      <formula>AND(((COUNTIF(JT12:JT13,"O")+COUNTIF(JT12:JT13,"L")+COUNTIF(JT12:JT13,"H1")+COUNTIF(JT12:JT13,"H2")+COUNTIF(JT12:JT13,"OY")+COUNTIF(JT12:JT13,"M")+COUNTIF(JT12:JT13,"V")+COUNTIF(JT12:JT13,"P"))/2)&gt;=0.4,((COUNTIF(JT12:JT13,"O")+COUNTIF(JT12:JT13,"L")+COUNTIF(JT12:JT13,"H1")+COUNTIF(JT12:JT13,"H2")+COUNTIF(JT12:JT13,"OY")+COUNTIF(JT12:JT13,"M")+COUNTIF(JT12:JT13,"V")+COUNTIF(JT12:JT13,"P"))/2)&lt;=1)</formula>
    </cfRule>
  </conditionalFormatting>
  <conditionalFormatting sqref="JT24">
    <cfRule type="expression" dxfId="426" priority="520" stopIfTrue="1">
      <formula>AND(JT$7&lt;&gt;"",VLOOKUP(JT$8,$NX$23:$NY$30,2,0)&lt;&gt;"Yes")</formula>
    </cfRule>
    <cfRule type="expression" dxfId="425" priority="521" stopIfTrue="1">
      <formula>ISNUMBER(MATCH(DATE($B$4,$B$3+$B$5-1,JT$7),HolidayListNamedRange,0))</formula>
    </cfRule>
  </conditionalFormatting>
  <conditionalFormatting sqref="JT24">
    <cfRule type="expression" dxfId="424" priority="517">
      <formula>AND(((COUNTIF(JT16:JT23,"O")+COUNTIF(JT16:JT23,"L")+COUNTIF(JT16:JT23,"H1")+COUNTIF(JT16:JT23,"H2")+COUNTIF(JT16:JT23,"OY")+COUNTIF(JT16:JT23,"M")+COUNTIF(JT16:JT23,"V")+COUNTIF(JT16:JT23,"P"))/8)&gt;=0,((COUNTIF(JT16:JT23,"O")+COUNTIF(JT16:JT23,"L")+COUNTIF(JT16:JT23,"H1")+COUNTIF(JT16:JT23,"H2")+COUNTIF(JT16:JT23,"OY")+COUNTIF(JT16:JT23,"M")+COUNTIF(JT16:JT23,"V")+COUNTIF(JT16:JT23,"P"))/8)&lt;=0.2)</formula>
    </cfRule>
    <cfRule type="expression" dxfId="423" priority="518">
      <formula>AND(((COUNTIF(JT16:JT23,"O")+COUNTIF(JT16:JT23,"L")+COUNTIF(JT16:JT23,"H1")+COUNTIF(JT16:JT23,"H2")+COUNTIF(JT16:JT23,"OY")+COUNTIF(JT16:JT23,"M")+COUNTIF(JT16:JT23,"V")+COUNTIF(JT16:JT23,"P"))/8)&gt;0.2,((COUNTIF(JT16:JT23,"O")+COUNTIF(JT16:JT23,"L")+COUNTIF(JT16:JT23,"H1")+COUNTIF(JT16:JT23,"H2")+COUNTIF(JT16:JT23,"OY")+COUNTIF(JT16:JT23,"M")+COUNTIF(JT16:JT23,"V")+COUNTIF(JT16:JT23,"P"))/8)&lt;=0.4)</formula>
    </cfRule>
    <cfRule type="expression" dxfId="422" priority="519">
      <formula>AND(((COUNTIF(JT16:JT23,"O")+COUNTIF(JT16:JT23,"L")+COUNTIF(JT16:JT23,"H1")+COUNTIF(JT16:JT23,"H2")+COUNTIF(JT16:JT23,"OY")+COUNTIF(JT16:JT23,"M")+COUNTIF(JT16:JT23,"V")+COUNTIF(JT16:JT23,"P"))/8)&gt;=0.4,((COUNTIF(JT16:JT23,"O")+COUNTIF(JT16:JT23,"L")+COUNTIF(JT16:JT23,"H1")+COUNTIF(JT16:JT23,"H2")+COUNTIF(JT16:JT23,"OY")+COUNTIF(JT16:JT23,"M")+COUNTIF(JT16:JT23,"V")+COUNTIF(JT16:JT23,"P"))/8)&lt;=1)</formula>
    </cfRule>
  </conditionalFormatting>
  <conditionalFormatting sqref="JW10:KA13">
    <cfRule type="expression" dxfId="421" priority="505" stopIfTrue="1">
      <formula>AND(JW$7&lt;&gt;"",VLOOKUP(JW$8,$NX$25:$NY$32,2,0)&lt;&gt;"Yes")</formula>
    </cfRule>
    <cfRule type="expression" dxfId="420" priority="506" stopIfTrue="1">
      <formula>ISNUMBER(MATCH(DATE($B$4,$B$3+$B$5-1,JW$7),HolidayListNamedRange,0))</formula>
    </cfRule>
  </conditionalFormatting>
  <conditionalFormatting sqref="JW14:KA14">
    <cfRule type="expression" dxfId="419" priority="503" stopIfTrue="1">
      <formula>AND(JW$7&lt;&gt;"",VLOOKUP(JW$8,$NX$23:$NY$30,2,0)&lt;&gt;"Yes")</formula>
    </cfRule>
    <cfRule type="expression" dxfId="418" priority="504" stopIfTrue="1">
      <formula>ISNUMBER(MATCH(DATE($B$4,$B$3+$B$5-1,JW$7),HolidayListNamedRange,0))</formula>
    </cfRule>
  </conditionalFormatting>
  <conditionalFormatting sqref="JW14:KA14">
    <cfRule type="expression" dxfId="417" priority="500">
      <formula>AND(((COUNTIF(JW12:JW13,"O")+COUNTIF(JW12:JW13,"L")+COUNTIF(JW12:JW13,"H1")+COUNTIF(JW12:JW13,"H2")+COUNTIF(JW12:JW13,"OY")+COUNTIF(JW12:JW13,"M")+COUNTIF(JW12:JW13,"V")+COUNTIF(JW12:JW13,"P"))/2)&gt;=0,((COUNTIF(JW12:JW13,"O")+COUNTIF(JW12:JW13,"L")+COUNTIF(JW12:JW13,"H1")+COUNTIF(JW12:JW13,"H2")+COUNTIF(JW12:JW13,"OY")+COUNTIF(JW12:JW13,"M")+COUNTIF(JW12:JW13,"V")+COUNTIF(JW12:JW13,"P"))/2)&lt;=0.2)</formula>
    </cfRule>
    <cfRule type="expression" dxfId="416" priority="501">
      <formula>AND(((COUNTIF(JW12:JW13,"O")+COUNTIF(JW12:JW13,"L")+COUNTIF(JW12:JW13,"H1")+COUNTIF(JW12:JW13,"H2")+COUNTIF(JW12:JW13,"OY")+COUNTIF(JW12:JW13,"M")+COUNTIF(JW12:JW13,"V")+COUNTIF(JW12:JW13,"P"))/2)&gt;0.2,((COUNTIF(JW12:JW13,"O")+COUNTIF(JW12:JW13,"L")+COUNTIF(JW12:JW13,"H1")+COUNTIF(JW12:JW13,"H2")+COUNTIF(JW12:JW13,"OY")+COUNTIF(JW12:JW13,"M")+COUNTIF(JW12:JW13,"V")+COUNTIF(JW12:JW13,"P"))/2)&lt;=0.4)</formula>
    </cfRule>
    <cfRule type="expression" dxfId="415" priority="502">
      <formula>AND(((COUNTIF(JW12:JW13,"O")+COUNTIF(JW12:JW13,"L")+COUNTIF(JW12:JW13,"H1")+COUNTIF(JW12:JW13,"H2")+COUNTIF(JW12:JW13,"OY")+COUNTIF(JW12:JW13,"M")+COUNTIF(JW12:JW13,"V")+COUNTIF(JW12:JW13,"P"))/2)&gt;=0.4,((COUNTIF(JW12:JW13,"O")+COUNTIF(JW12:JW13,"L")+COUNTIF(JW12:JW13,"H1")+COUNTIF(JW12:JW13,"H2")+COUNTIF(JW12:JW13,"OY")+COUNTIF(JW12:JW13,"M")+COUNTIF(JW12:JW13,"V")+COUNTIF(JW12:JW13,"P"))/2)&lt;=1)</formula>
    </cfRule>
  </conditionalFormatting>
  <conditionalFormatting sqref="JW24:KA24">
    <cfRule type="expression" dxfId="414" priority="498" stopIfTrue="1">
      <formula>AND(JW$7&lt;&gt;"",VLOOKUP(JW$8,$NX$23:$NY$30,2,0)&lt;&gt;"Yes")</formula>
    </cfRule>
    <cfRule type="expression" dxfId="413" priority="499" stopIfTrue="1">
      <formula>ISNUMBER(MATCH(DATE($B$4,$B$3+$B$5-1,JW$7),HolidayListNamedRange,0))</formula>
    </cfRule>
  </conditionalFormatting>
  <conditionalFormatting sqref="JW24:KA24">
    <cfRule type="expression" dxfId="412" priority="495">
      <formula>AND(((COUNTIF(JW16:JW23,"O")+COUNTIF(JW16:JW23,"L")+COUNTIF(JW16:JW23,"H1")+COUNTIF(JW16:JW23,"H2")+COUNTIF(JW16:JW23,"OY")+COUNTIF(JW16:JW23,"M")+COUNTIF(JW16:JW23,"V")+COUNTIF(JW16:JW23,"P"))/8)&gt;=0,((COUNTIF(JW16:JW23,"O")+COUNTIF(JW16:JW23,"L")+COUNTIF(JW16:JW23,"H1")+COUNTIF(JW16:JW23,"H2")+COUNTIF(JW16:JW23,"OY")+COUNTIF(JW16:JW23,"M")+COUNTIF(JW16:JW23,"V")+COUNTIF(JW16:JW23,"P"))/8)&lt;=0.2)</formula>
    </cfRule>
    <cfRule type="expression" dxfId="411" priority="496">
      <formula>AND(((COUNTIF(JW16:JW23,"O")+COUNTIF(JW16:JW23,"L")+COUNTIF(JW16:JW23,"H1")+COUNTIF(JW16:JW23,"H2")+COUNTIF(JW16:JW23,"OY")+COUNTIF(JW16:JW23,"M")+COUNTIF(JW16:JW23,"V")+COUNTIF(JW16:JW23,"P"))/8)&gt;0.2,((COUNTIF(JW16:JW23,"O")+COUNTIF(JW16:JW23,"L")+COUNTIF(JW16:JW23,"H1")+COUNTIF(JW16:JW23,"H2")+COUNTIF(JW16:JW23,"OY")+COUNTIF(JW16:JW23,"M")+COUNTIF(JW16:JW23,"V")+COUNTIF(JW16:JW23,"P"))/8)&lt;=0.4)</formula>
    </cfRule>
    <cfRule type="expression" dxfId="410" priority="497">
      <formula>AND(((COUNTIF(JW16:JW23,"O")+COUNTIF(JW16:JW23,"L")+COUNTIF(JW16:JW23,"H1")+COUNTIF(JW16:JW23,"H2")+COUNTIF(JW16:JW23,"OY")+COUNTIF(JW16:JW23,"M")+COUNTIF(JW16:JW23,"V")+COUNTIF(JW16:JW23,"P"))/8)&gt;=0.4,((COUNTIF(JW16:JW23,"O")+COUNTIF(JW16:JW23,"L")+COUNTIF(JW16:JW23,"H1")+COUNTIF(JW16:JW23,"H2")+COUNTIF(JW16:JW23,"OY")+COUNTIF(JW16:JW23,"M")+COUNTIF(JW16:JW23,"V")+COUNTIF(JW16:JW23,"P"))/8)&lt;=1)</formula>
    </cfRule>
  </conditionalFormatting>
  <conditionalFormatting sqref="KE10:KH13">
    <cfRule type="expression" dxfId="409" priority="483" stopIfTrue="1">
      <formula>AND(KE$7&lt;&gt;"",VLOOKUP(KE$8,$NX$25:$NY$32,2,0)&lt;&gt;"Yes")</formula>
    </cfRule>
    <cfRule type="expression" dxfId="408" priority="484" stopIfTrue="1">
      <formula>ISNUMBER(MATCH(DATE($B$4,$B$3+$B$5-1,KE$7),HolidayListNamedRange,0))</formula>
    </cfRule>
  </conditionalFormatting>
  <conditionalFormatting sqref="KE14:KH14">
    <cfRule type="expression" dxfId="407" priority="481" stopIfTrue="1">
      <formula>AND(KE$7&lt;&gt;"",VLOOKUP(KE$8,$NX$23:$NY$30,2,0)&lt;&gt;"Yes")</formula>
    </cfRule>
    <cfRule type="expression" dxfId="406" priority="482" stopIfTrue="1">
      <formula>ISNUMBER(MATCH(DATE($B$4,$B$3+$B$5-1,KE$7),HolidayListNamedRange,0))</formula>
    </cfRule>
  </conditionalFormatting>
  <conditionalFormatting sqref="KE14:KH14">
    <cfRule type="expression" dxfId="405" priority="478">
      <formula>AND(((COUNTIF(KE12:KE13,"O")+COUNTIF(KE12:KE13,"L")+COUNTIF(KE12:KE13,"H1")+COUNTIF(KE12:KE13,"H2")+COUNTIF(KE12:KE13,"OY")+COUNTIF(KE12:KE13,"M")+COUNTIF(KE12:KE13,"V")+COUNTIF(KE12:KE13,"P"))/2)&gt;=0,((COUNTIF(KE12:KE13,"O")+COUNTIF(KE12:KE13,"L")+COUNTIF(KE12:KE13,"H1")+COUNTIF(KE12:KE13,"H2")+COUNTIF(KE12:KE13,"OY")+COUNTIF(KE12:KE13,"M")+COUNTIF(KE12:KE13,"V")+COUNTIF(KE12:KE13,"P"))/2)&lt;=0.2)</formula>
    </cfRule>
    <cfRule type="expression" dxfId="404" priority="479">
      <formula>AND(((COUNTIF(KE12:KE13,"O")+COUNTIF(KE12:KE13,"L")+COUNTIF(KE12:KE13,"H1")+COUNTIF(KE12:KE13,"H2")+COUNTIF(KE12:KE13,"OY")+COUNTIF(KE12:KE13,"M")+COUNTIF(KE12:KE13,"V")+COUNTIF(KE12:KE13,"P"))/2)&gt;0.2,((COUNTIF(KE12:KE13,"O")+COUNTIF(KE12:KE13,"L")+COUNTIF(KE12:KE13,"H1")+COUNTIF(KE12:KE13,"H2")+COUNTIF(KE12:KE13,"OY")+COUNTIF(KE12:KE13,"M")+COUNTIF(KE12:KE13,"V")+COUNTIF(KE12:KE13,"P"))/2)&lt;=0.4)</formula>
    </cfRule>
    <cfRule type="expression" dxfId="403" priority="480">
      <formula>AND(((COUNTIF(KE12:KE13,"O")+COUNTIF(KE12:KE13,"L")+COUNTIF(KE12:KE13,"H1")+COUNTIF(KE12:KE13,"H2")+COUNTIF(KE12:KE13,"OY")+COUNTIF(KE12:KE13,"M")+COUNTIF(KE12:KE13,"V")+COUNTIF(KE12:KE13,"P"))/2)&gt;=0.4,((COUNTIF(KE12:KE13,"O")+COUNTIF(KE12:KE13,"L")+COUNTIF(KE12:KE13,"H1")+COUNTIF(KE12:KE13,"H2")+COUNTIF(KE12:KE13,"OY")+COUNTIF(KE12:KE13,"M")+COUNTIF(KE12:KE13,"V")+COUNTIF(KE12:KE13,"P"))/2)&lt;=1)</formula>
    </cfRule>
  </conditionalFormatting>
  <conditionalFormatting sqref="KE24:KH24">
    <cfRule type="expression" dxfId="402" priority="476" stopIfTrue="1">
      <formula>AND(KE$7&lt;&gt;"",VLOOKUP(KE$8,$NX$23:$NY$30,2,0)&lt;&gt;"Yes")</formula>
    </cfRule>
    <cfRule type="expression" dxfId="401" priority="477" stopIfTrue="1">
      <formula>ISNUMBER(MATCH(DATE($B$4,$B$3+$B$5-1,KE$7),HolidayListNamedRange,0))</formula>
    </cfRule>
  </conditionalFormatting>
  <conditionalFormatting sqref="KE24:KH24">
    <cfRule type="expression" dxfId="400" priority="473">
      <formula>AND(((COUNTIF(KE16:KE23,"O")+COUNTIF(KE16:KE23,"L")+COUNTIF(KE16:KE23,"H1")+COUNTIF(KE16:KE23,"H2")+COUNTIF(KE16:KE23,"OY")+COUNTIF(KE16:KE23,"M")+COUNTIF(KE16:KE23,"V")+COUNTIF(KE16:KE23,"P"))/8)&gt;=0,((COUNTIF(KE16:KE23,"O")+COUNTIF(KE16:KE23,"L")+COUNTIF(KE16:KE23,"H1")+COUNTIF(KE16:KE23,"H2")+COUNTIF(KE16:KE23,"OY")+COUNTIF(KE16:KE23,"M")+COUNTIF(KE16:KE23,"V")+COUNTIF(KE16:KE23,"P"))/8)&lt;=0.2)</formula>
    </cfRule>
    <cfRule type="expression" dxfId="399" priority="474">
      <formula>AND(((COUNTIF(KE16:KE23,"O")+COUNTIF(KE16:KE23,"L")+COUNTIF(KE16:KE23,"H1")+COUNTIF(KE16:KE23,"H2")+COUNTIF(KE16:KE23,"OY")+COUNTIF(KE16:KE23,"M")+COUNTIF(KE16:KE23,"V")+COUNTIF(KE16:KE23,"P"))/8)&gt;0.2,((COUNTIF(KE16:KE23,"O")+COUNTIF(KE16:KE23,"L")+COUNTIF(KE16:KE23,"H1")+COUNTIF(KE16:KE23,"H2")+COUNTIF(KE16:KE23,"OY")+COUNTIF(KE16:KE23,"M")+COUNTIF(KE16:KE23,"V")+COUNTIF(KE16:KE23,"P"))/8)&lt;=0.4)</formula>
    </cfRule>
    <cfRule type="expression" dxfId="398" priority="475">
      <formula>AND(((COUNTIF(KE16:KE23,"O")+COUNTIF(KE16:KE23,"L")+COUNTIF(KE16:KE23,"H1")+COUNTIF(KE16:KE23,"H2")+COUNTIF(KE16:KE23,"OY")+COUNTIF(KE16:KE23,"M")+COUNTIF(KE16:KE23,"V")+COUNTIF(KE16:KE23,"P"))/8)&gt;=0.4,((COUNTIF(KE16:KE23,"O")+COUNTIF(KE16:KE23,"L")+COUNTIF(KE16:KE23,"H1")+COUNTIF(KE16:KE23,"H2")+COUNTIF(KE16:KE23,"OY")+COUNTIF(KE16:KE23,"M")+COUNTIF(KE16:KE23,"V")+COUNTIF(KE16:KE23,"P"))/8)&lt;=1)</formula>
    </cfRule>
  </conditionalFormatting>
  <conditionalFormatting sqref="KK10:KO13">
    <cfRule type="expression" dxfId="397" priority="461" stopIfTrue="1">
      <formula>AND(KK$7&lt;&gt;"",VLOOKUP(KK$8,$NX$25:$NY$32,2,0)&lt;&gt;"Yes")</formula>
    </cfRule>
    <cfRule type="expression" dxfId="396" priority="462" stopIfTrue="1">
      <formula>ISNUMBER(MATCH(DATE($B$4,$B$3+$B$5-1,KK$7),HolidayListNamedRange,0))</formula>
    </cfRule>
  </conditionalFormatting>
  <conditionalFormatting sqref="KK14:KO14">
    <cfRule type="expression" dxfId="395" priority="459" stopIfTrue="1">
      <formula>AND(KK$7&lt;&gt;"",VLOOKUP(KK$8,$NX$23:$NY$30,2,0)&lt;&gt;"Yes")</formula>
    </cfRule>
    <cfRule type="expression" dxfId="394" priority="460" stopIfTrue="1">
      <formula>ISNUMBER(MATCH(DATE($B$4,$B$3+$B$5-1,KK$7),HolidayListNamedRange,0))</formula>
    </cfRule>
  </conditionalFormatting>
  <conditionalFormatting sqref="KK14:KO14">
    <cfRule type="expression" dxfId="393" priority="456">
      <formula>AND(((COUNTIF(KK12:KK13,"O")+COUNTIF(KK12:KK13,"L")+COUNTIF(KK12:KK13,"H1")+COUNTIF(KK12:KK13,"H2")+COUNTIF(KK12:KK13,"OY")+COUNTIF(KK12:KK13,"M")+COUNTIF(KK12:KK13,"V")+COUNTIF(KK12:KK13,"P"))/2)&gt;=0,((COUNTIF(KK12:KK13,"O")+COUNTIF(KK12:KK13,"L")+COUNTIF(KK12:KK13,"H1")+COUNTIF(KK12:KK13,"H2")+COUNTIF(KK12:KK13,"OY")+COUNTIF(KK12:KK13,"M")+COUNTIF(KK12:KK13,"V")+COUNTIF(KK12:KK13,"P"))/2)&lt;=0.2)</formula>
    </cfRule>
    <cfRule type="expression" dxfId="392" priority="457">
      <formula>AND(((COUNTIF(KK12:KK13,"O")+COUNTIF(KK12:KK13,"L")+COUNTIF(KK12:KK13,"H1")+COUNTIF(KK12:KK13,"H2")+COUNTIF(KK12:KK13,"OY")+COUNTIF(KK12:KK13,"M")+COUNTIF(KK12:KK13,"V")+COUNTIF(KK12:KK13,"P"))/2)&gt;0.2,((COUNTIF(KK12:KK13,"O")+COUNTIF(KK12:KK13,"L")+COUNTIF(KK12:KK13,"H1")+COUNTIF(KK12:KK13,"H2")+COUNTIF(KK12:KK13,"OY")+COUNTIF(KK12:KK13,"M")+COUNTIF(KK12:KK13,"V")+COUNTIF(KK12:KK13,"P"))/2)&lt;=0.4)</formula>
    </cfRule>
    <cfRule type="expression" dxfId="391" priority="458">
      <formula>AND(((COUNTIF(KK12:KK13,"O")+COUNTIF(KK12:KK13,"L")+COUNTIF(KK12:KK13,"H1")+COUNTIF(KK12:KK13,"H2")+COUNTIF(KK12:KK13,"OY")+COUNTIF(KK12:KK13,"M")+COUNTIF(KK12:KK13,"V")+COUNTIF(KK12:KK13,"P"))/2)&gt;=0.4,((COUNTIF(KK12:KK13,"O")+COUNTIF(KK12:KK13,"L")+COUNTIF(KK12:KK13,"H1")+COUNTIF(KK12:KK13,"H2")+COUNTIF(KK12:KK13,"OY")+COUNTIF(KK12:KK13,"M")+COUNTIF(KK12:KK13,"V")+COUNTIF(KK12:KK13,"P"))/2)&lt;=1)</formula>
    </cfRule>
  </conditionalFormatting>
  <conditionalFormatting sqref="KK24:KO24">
    <cfRule type="expression" dxfId="390" priority="454" stopIfTrue="1">
      <formula>AND(KK$7&lt;&gt;"",VLOOKUP(KK$8,$NX$23:$NY$30,2,0)&lt;&gt;"Yes")</formula>
    </cfRule>
    <cfRule type="expression" dxfId="389" priority="455" stopIfTrue="1">
      <formula>ISNUMBER(MATCH(DATE($B$4,$B$3+$B$5-1,KK$7),HolidayListNamedRange,0))</formula>
    </cfRule>
  </conditionalFormatting>
  <conditionalFormatting sqref="KK24:KO24">
    <cfRule type="expression" dxfId="388" priority="451">
      <formula>AND(((COUNTIF(KK16:KK23,"O")+COUNTIF(KK16:KK23,"L")+COUNTIF(KK16:KK23,"H1")+COUNTIF(KK16:KK23,"H2")+COUNTIF(KK16:KK23,"OY")+COUNTIF(KK16:KK23,"M")+COUNTIF(KK16:KK23,"V")+COUNTIF(KK16:KK23,"P"))/8)&gt;=0,((COUNTIF(KK16:KK23,"O")+COUNTIF(KK16:KK23,"L")+COUNTIF(KK16:KK23,"H1")+COUNTIF(KK16:KK23,"H2")+COUNTIF(KK16:KK23,"OY")+COUNTIF(KK16:KK23,"M")+COUNTIF(KK16:KK23,"V")+COUNTIF(KK16:KK23,"P"))/8)&lt;=0.2)</formula>
    </cfRule>
    <cfRule type="expression" dxfId="387" priority="452">
      <formula>AND(((COUNTIF(KK16:KK23,"O")+COUNTIF(KK16:KK23,"L")+COUNTIF(KK16:KK23,"H1")+COUNTIF(KK16:KK23,"H2")+COUNTIF(KK16:KK23,"OY")+COUNTIF(KK16:KK23,"M")+COUNTIF(KK16:KK23,"V")+COUNTIF(KK16:KK23,"P"))/8)&gt;0.2,((COUNTIF(KK16:KK23,"O")+COUNTIF(KK16:KK23,"L")+COUNTIF(KK16:KK23,"H1")+COUNTIF(KK16:KK23,"H2")+COUNTIF(KK16:KK23,"OY")+COUNTIF(KK16:KK23,"M")+COUNTIF(KK16:KK23,"V")+COUNTIF(KK16:KK23,"P"))/8)&lt;=0.4)</formula>
    </cfRule>
    <cfRule type="expression" dxfId="386" priority="453">
      <formula>AND(((COUNTIF(KK16:KK23,"O")+COUNTIF(KK16:KK23,"L")+COUNTIF(KK16:KK23,"H1")+COUNTIF(KK16:KK23,"H2")+COUNTIF(KK16:KK23,"OY")+COUNTIF(KK16:KK23,"M")+COUNTIF(KK16:KK23,"V")+COUNTIF(KK16:KK23,"P"))/8)&gt;=0.4,((COUNTIF(KK16:KK23,"O")+COUNTIF(KK16:KK23,"L")+COUNTIF(KK16:KK23,"H1")+COUNTIF(KK16:KK23,"H2")+COUNTIF(KK16:KK23,"OY")+COUNTIF(KK16:KK23,"M")+COUNTIF(KK16:KK23,"V")+COUNTIF(KK16:KK23,"P"))/8)&lt;=1)</formula>
    </cfRule>
  </conditionalFormatting>
  <conditionalFormatting sqref="KR10:KV13">
    <cfRule type="expression" dxfId="385" priority="439" stopIfTrue="1">
      <formula>AND(KR$7&lt;&gt;"",VLOOKUP(KR$8,$NX$25:$NY$32,2,0)&lt;&gt;"Yes")</formula>
    </cfRule>
    <cfRule type="expression" dxfId="384" priority="440" stopIfTrue="1">
      <formula>ISNUMBER(MATCH(DATE($B$4,$B$3+$B$5-1,KR$7),HolidayListNamedRange,0))</formula>
    </cfRule>
  </conditionalFormatting>
  <conditionalFormatting sqref="KR14:KV14">
    <cfRule type="expression" dxfId="383" priority="437" stopIfTrue="1">
      <formula>AND(KR$7&lt;&gt;"",VLOOKUP(KR$8,$NX$23:$NY$30,2,0)&lt;&gt;"Yes")</formula>
    </cfRule>
    <cfRule type="expression" dxfId="382" priority="438" stopIfTrue="1">
      <formula>ISNUMBER(MATCH(DATE($B$4,$B$3+$B$5-1,KR$7),HolidayListNamedRange,0))</formula>
    </cfRule>
  </conditionalFormatting>
  <conditionalFormatting sqref="KR14:KV14">
    <cfRule type="expression" dxfId="381" priority="434">
      <formula>AND(((COUNTIF(KR12:KR13,"O")+COUNTIF(KR12:KR13,"L")+COUNTIF(KR12:KR13,"H1")+COUNTIF(KR12:KR13,"H2")+COUNTIF(KR12:KR13,"OY")+COUNTIF(KR12:KR13,"M")+COUNTIF(KR12:KR13,"V")+COUNTIF(KR12:KR13,"P"))/2)&gt;=0,((COUNTIF(KR12:KR13,"O")+COUNTIF(KR12:KR13,"L")+COUNTIF(KR12:KR13,"H1")+COUNTIF(KR12:KR13,"H2")+COUNTIF(KR12:KR13,"OY")+COUNTIF(KR12:KR13,"M")+COUNTIF(KR12:KR13,"V")+COUNTIF(KR12:KR13,"P"))/2)&lt;=0.2)</formula>
    </cfRule>
    <cfRule type="expression" dxfId="380" priority="435">
      <formula>AND(((COUNTIF(KR12:KR13,"O")+COUNTIF(KR12:KR13,"L")+COUNTIF(KR12:KR13,"H1")+COUNTIF(KR12:KR13,"H2")+COUNTIF(KR12:KR13,"OY")+COUNTIF(KR12:KR13,"M")+COUNTIF(KR12:KR13,"V")+COUNTIF(KR12:KR13,"P"))/2)&gt;0.2,((COUNTIF(KR12:KR13,"O")+COUNTIF(KR12:KR13,"L")+COUNTIF(KR12:KR13,"H1")+COUNTIF(KR12:KR13,"H2")+COUNTIF(KR12:KR13,"OY")+COUNTIF(KR12:KR13,"M")+COUNTIF(KR12:KR13,"V")+COUNTIF(KR12:KR13,"P"))/2)&lt;=0.4)</formula>
    </cfRule>
    <cfRule type="expression" dxfId="379" priority="436">
      <formula>AND(((COUNTIF(KR12:KR13,"O")+COUNTIF(KR12:KR13,"L")+COUNTIF(KR12:KR13,"H1")+COUNTIF(KR12:KR13,"H2")+COUNTIF(KR12:KR13,"OY")+COUNTIF(KR12:KR13,"M")+COUNTIF(KR12:KR13,"V")+COUNTIF(KR12:KR13,"P"))/2)&gt;=0.4,((COUNTIF(KR12:KR13,"O")+COUNTIF(KR12:KR13,"L")+COUNTIF(KR12:KR13,"H1")+COUNTIF(KR12:KR13,"H2")+COUNTIF(KR12:KR13,"OY")+COUNTIF(KR12:KR13,"M")+COUNTIF(KR12:KR13,"V")+COUNTIF(KR12:KR13,"P"))/2)&lt;=1)</formula>
    </cfRule>
  </conditionalFormatting>
  <conditionalFormatting sqref="KR24:KV24">
    <cfRule type="expression" dxfId="378" priority="432" stopIfTrue="1">
      <formula>AND(KR$7&lt;&gt;"",VLOOKUP(KR$8,$NX$23:$NY$30,2,0)&lt;&gt;"Yes")</formula>
    </cfRule>
    <cfRule type="expression" dxfId="377" priority="433" stopIfTrue="1">
      <formula>ISNUMBER(MATCH(DATE($B$4,$B$3+$B$5-1,KR$7),HolidayListNamedRange,0))</formula>
    </cfRule>
  </conditionalFormatting>
  <conditionalFormatting sqref="KR24:KV24">
    <cfRule type="expression" dxfId="376" priority="429">
      <formula>AND(((COUNTIF(KR16:KR23,"O")+COUNTIF(KR16:KR23,"L")+COUNTIF(KR16:KR23,"H1")+COUNTIF(KR16:KR23,"H2")+COUNTIF(KR16:KR23,"OY")+COUNTIF(KR16:KR23,"M")+COUNTIF(KR16:KR23,"V")+COUNTIF(KR16:KR23,"P"))/8)&gt;=0,((COUNTIF(KR16:KR23,"O")+COUNTIF(KR16:KR23,"L")+COUNTIF(KR16:KR23,"H1")+COUNTIF(KR16:KR23,"H2")+COUNTIF(KR16:KR23,"OY")+COUNTIF(KR16:KR23,"M")+COUNTIF(KR16:KR23,"V")+COUNTIF(KR16:KR23,"P"))/8)&lt;=0.2)</formula>
    </cfRule>
    <cfRule type="expression" dxfId="375" priority="430">
      <formula>AND(((COUNTIF(KR16:KR23,"O")+COUNTIF(KR16:KR23,"L")+COUNTIF(KR16:KR23,"H1")+COUNTIF(KR16:KR23,"H2")+COUNTIF(KR16:KR23,"OY")+COUNTIF(KR16:KR23,"M")+COUNTIF(KR16:KR23,"V")+COUNTIF(KR16:KR23,"P"))/8)&gt;0.2,((COUNTIF(KR16:KR23,"O")+COUNTIF(KR16:KR23,"L")+COUNTIF(KR16:KR23,"H1")+COUNTIF(KR16:KR23,"H2")+COUNTIF(KR16:KR23,"OY")+COUNTIF(KR16:KR23,"M")+COUNTIF(KR16:KR23,"V")+COUNTIF(KR16:KR23,"P"))/8)&lt;=0.4)</formula>
    </cfRule>
    <cfRule type="expression" dxfId="374" priority="431">
      <formula>AND(((COUNTIF(KR16:KR23,"O")+COUNTIF(KR16:KR23,"L")+COUNTIF(KR16:KR23,"H1")+COUNTIF(KR16:KR23,"H2")+COUNTIF(KR16:KR23,"OY")+COUNTIF(KR16:KR23,"M")+COUNTIF(KR16:KR23,"V")+COUNTIF(KR16:KR23,"P"))/8)&gt;=0.4,((COUNTIF(KR16:KR23,"O")+COUNTIF(KR16:KR23,"L")+COUNTIF(KR16:KR23,"H1")+COUNTIF(KR16:KR23,"H2")+COUNTIF(KR16:KR23,"OY")+COUNTIF(KR16:KR23,"M")+COUNTIF(KR16:KR23,"V")+COUNTIF(KR16:KR23,"P"))/8)&lt;=1)</formula>
    </cfRule>
  </conditionalFormatting>
  <conditionalFormatting sqref="KY10:KY13">
    <cfRule type="expression" dxfId="373" priority="417" stopIfTrue="1">
      <formula>AND(KY$7&lt;&gt;"",VLOOKUP(KY$8,$NX$25:$NY$32,2,0)&lt;&gt;"Yes")</formula>
    </cfRule>
    <cfRule type="expression" dxfId="372" priority="418" stopIfTrue="1">
      <formula>ISNUMBER(MATCH(DATE($B$4,$B$3+$B$5-1,KY$7),HolidayListNamedRange,0))</formula>
    </cfRule>
  </conditionalFormatting>
  <conditionalFormatting sqref="KY14">
    <cfRule type="expression" dxfId="371" priority="415" stopIfTrue="1">
      <formula>AND(KY$7&lt;&gt;"",VLOOKUP(KY$8,$NX$23:$NY$30,2,0)&lt;&gt;"Yes")</formula>
    </cfRule>
    <cfRule type="expression" dxfId="370" priority="416" stopIfTrue="1">
      <formula>ISNUMBER(MATCH(DATE($B$4,$B$3+$B$5-1,KY$7),HolidayListNamedRange,0))</formula>
    </cfRule>
  </conditionalFormatting>
  <conditionalFormatting sqref="KY14">
    <cfRule type="expression" dxfId="369" priority="412">
      <formula>AND(((COUNTIF(KY12:KY13,"O")+COUNTIF(KY12:KY13,"L")+COUNTIF(KY12:KY13,"H1")+COUNTIF(KY12:KY13,"H2")+COUNTIF(KY12:KY13,"OY")+COUNTIF(KY12:KY13,"M")+COUNTIF(KY12:KY13,"V")+COUNTIF(KY12:KY13,"P"))/2)&gt;=0,((COUNTIF(KY12:KY13,"O")+COUNTIF(KY12:KY13,"L")+COUNTIF(KY12:KY13,"H1")+COUNTIF(KY12:KY13,"H2")+COUNTIF(KY12:KY13,"OY")+COUNTIF(KY12:KY13,"M")+COUNTIF(KY12:KY13,"V")+COUNTIF(KY12:KY13,"P"))/2)&lt;=0.2)</formula>
    </cfRule>
    <cfRule type="expression" dxfId="368" priority="413">
      <formula>AND(((COUNTIF(KY12:KY13,"O")+COUNTIF(KY12:KY13,"L")+COUNTIF(KY12:KY13,"H1")+COUNTIF(KY12:KY13,"H2")+COUNTIF(KY12:KY13,"OY")+COUNTIF(KY12:KY13,"M")+COUNTIF(KY12:KY13,"V")+COUNTIF(KY12:KY13,"P"))/2)&gt;0.2,((COUNTIF(KY12:KY13,"O")+COUNTIF(KY12:KY13,"L")+COUNTIF(KY12:KY13,"H1")+COUNTIF(KY12:KY13,"H2")+COUNTIF(KY12:KY13,"OY")+COUNTIF(KY12:KY13,"M")+COUNTIF(KY12:KY13,"V")+COUNTIF(KY12:KY13,"P"))/2)&lt;=0.4)</formula>
    </cfRule>
    <cfRule type="expression" dxfId="367" priority="414">
      <formula>AND(((COUNTIF(KY12:KY13,"O")+COUNTIF(KY12:KY13,"L")+COUNTIF(KY12:KY13,"H1")+COUNTIF(KY12:KY13,"H2")+COUNTIF(KY12:KY13,"OY")+COUNTIF(KY12:KY13,"M")+COUNTIF(KY12:KY13,"V")+COUNTIF(KY12:KY13,"P"))/2)&gt;=0.4,((COUNTIF(KY12:KY13,"O")+COUNTIF(KY12:KY13,"L")+COUNTIF(KY12:KY13,"H1")+COUNTIF(KY12:KY13,"H2")+COUNTIF(KY12:KY13,"OY")+COUNTIF(KY12:KY13,"M")+COUNTIF(KY12:KY13,"V")+COUNTIF(KY12:KY13,"P"))/2)&lt;=1)</formula>
    </cfRule>
  </conditionalFormatting>
  <conditionalFormatting sqref="KY24">
    <cfRule type="expression" dxfId="366" priority="410" stopIfTrue="1">
      <formula>AND(KY$7&lt;&gt;"",VLOOKUP(KY$8,$NX$23:$NY$30,2,0)&lt;&gt;"Yes")</formula>
    </cfRule>
    <cfRule type="expression" dxfId="365" priority="411" stopIfTrue="1">
      <formula>ISNUMBER(MATCH(DATE($B$4,$B$3+$B$5-1,KY$7),HolidayListNamedRange,0))</formula>
    </cfRule>
  </conditionalFormatting>
  <conditionalFormatting sqref="KY24">
    <cfRule type="expression" dxfId="364" priority="407">
      <formula>AND(((COUNTIF(KY16:KY23,"O")+COUNTIF(KY16:KY23,"L")+COUNTIF(KY16:KY23,"H1")+COUNTIF(KY16:KY23,"H2")+COUNTIF(KY16:KY23,"OY")+COUNTIF(KY16:KY23,"M")+COUNTIF(KY16:KY23,"V")+COUNTIF(KY16:KY23,"P"))/8)&gt;=0,((COUNTIF(KY16:KY23,"O")+COUNTIF(KY16:KY23,"L")+COUNTIF(KY16:KY23,"H1")+COUNTIF(KY16:KY23,"H2")+COUNTIF(KY16:KY23,"OY")+COUNTIF(KY16:KY23,"M")+COUNTIF(KY16:KY23,"V")+COUNTIF(KY16:KY23,"P"))/8)&lt;=0.2)</formula>
    </cfRule>
    <cfRule type="expression" dxfId="363" priority="408">
      <formula>AND(((COUNTIF(KY16:KY23,"O")+COUNTIF(KY16:KY23,"L")+COUNTIF(KY16:KY23,"H1")+COUNTIF(KY16:KY23,"H2")+COUNTIF(KY16:KY23,"OY")+COUNTIF(KY16:KY23,"M")+COUNTIF(KY16:KY23,"V")+COUNTIF(KY16:KY23,"P"))/8)&gt;0.2,((COUNTIF(KY16:KY23,"O")+COUNTIF(KY16:KY23,"L")+COUNTIF(KY16:KY23,"H1")+COUNTIF(KY16:KY23,"H2")+COUNTIF(KY16:KY23,"OY")+COUNTIF(KY16:KY23,"M")+COUNTIF(KY16:KY23,"V")+COUNTIF(KY16:KY23,"P"))/8)&lt;=0.4)</formula>
    </cfRule>
    <cfRule type="expression" dxfId="362" priority="409">
      <formula>AND(((COUNTIF(KY16:KY23,"O")+COUNTIF(KY16:KY23,"L")+COUNTIF(KY16:KY23,"H1")+COUNTIF(KY16:KY23,"H2")+COUNTIF(KY16:KY23,"OY")+COUNTIF(KY16:KY23,"M")+COUNTIF(KY16:KY23,"V")+COUNTIF(KY16:KY23,"P"))/8)&gt;=0.4,((COUNTIF(KY16:KY23,"O")+COUNTIF(KY16:KY23,"L")+COUNTIF(KY16:KY23,"H1")+COUNTIF(KY16:KY23,"H2")+COUNTIF(KY16:KY23,"OY")+COUNTIF(KY16:KY23,"M")+COUNTIF(KY16:KY23,"V")+COUNTIF(KY16:KY23,"P"))/8)&lt;=1)</formula>
    </cfRule>
  </conditionalFormatting>
  <conditionalFormatting sqref="KZ10:LC13">
    <cfRule type="expression" dxfId="361" priority="395" stopIfTrue="1">
      <formula>AND(KZ$7&lt;&gt;"",VLOOKUP(KZ$8,$NX$25:$NY$32,2,0)&lt;&gt;"Yes")</formula>
    </cfRule>
    <cfRule type="expression" dxfId="360" priority="396" stopIfTrue="1">
      <formula>ISNUMBER(MATCH(DATE($B$4,$B$3+$B$5-1,KZ$7),HolidayListNamedRange,0))</formula>
    </cfRule>
  </conditionalFormatting>
  <conditionalFormatting sqref="KZ14:LC14">
    <cfRule type="expression" dxfId="359" priority="393" stopIfTrue="1">
      <formula>AND(KZ$7&lt;&gt;"",VLOOKUP(KZ$8,$NX$23:$NY$30,2,0)&lt;&gt;"Yes")</formula>
    </cfRule>
    <cfRule type="expression" dxfId="358" priority="394" stopIfTrue="1">
      <formula>ISNUMBER(MATCH(DATE($B$4,$B$3+$B$5-1,KZ$7),HolidayListNamedRange,0))</formula>
    </cfRule>
  </conditionalFormatting>
  <conditionalFormatting sqref="KZ14:LC14">
    <cfRule type="expression" dxfId="357" priority="390">
      <formula>AND(((COUNTIF(KZ12:KZ13,"O")+COUNTIF(KZ12:KZ13,"L")+COUNTIF(KZ12:KZ13,"H1")+COUNTIF(KZ12:KZ13,"H2")+COUNTIF(KZ12:KZ13,"OY")+COUNTIF(KZ12:KZ13,"M")+COUNTIF(KZ12:KZ13,"V")+COUNTIF(KZ12:KZ13,"P"))/2)&gt;=0,((COUNTIF(KZ12:KZ13,"O")+COUNTIF(KZ12:KZ13,"L")+COUNTIF(KZ12:KZ13,"H1")+COUNTIF(KZ12:KZ13,"H2")+COUNTIF(KZ12:KZ13,"OY")+COUNTIF(KZ12:KZ13,"M")+COUNTIF(KZ12:KZ13,"V")+COUNTIF(KZ12:KZ13,"P"))/2)&lt;=0.2)</formula>
    </cfRule>
    <cfRule type="expression" dxfId="356" priority="391">
      <formula>AND(((COUNTIF(KZ12:KZ13,"O")+COUNTIF(KZ12:KZ13,"L")+COUNTIF(KZ12:KZ13,"H1")+COUNTIF(KZ12:KZ13,"H2")+COUNTIF(KZ12:KZ13,"OY")+COUNTIF(KZ12:KZ13,"M")+COUNTIF(KZ12:KZ13,"V")+COUNTIF(KZ12:KZ13,"P"))/2)&gt;0.2,((COUNTIF(KZ12:KZ13,"O")+COUNTIF(KZ12:KZ13,"L")+COUNTIF(KZ12:KZ13,"H1")+COUNTIF(KZ12:KZ13,"H2")+COUNTIF(KZ12:KZ13,"OY")+COUNTIF(KZ12:KZ13,"M")+COUNTIF(KZ12:KZ13,"V")+COUNTIF(KZ12:KZ13,"P"))/2)&lt;=0.4)</formula>
    </cfRule>
    <cfRule type="expression" dxfId="355" priority="392">
      <formula>AND(((COUNTIF(KZ12:KZ13,"O")+COUNTIF(KZ12:KZ13,"L")+COUNTIF(KZ12:KZ13,"H1")+COUNTIF(KZ12:KZ13,"H2")+COUNTIF(KZ12:KZ13,"OY")+COUNTIF(KZ12:KZ13,"M")+COUNTIF(KZ12:KZ13,"V")+COUNTIF(KZ12:KZ13,"P"))/2)&gt;=0.4,((COUNTIF(KZ12:KZ13,"O")+COUNTIF(KZ12:KZ13,"L")+COUNTIF(KZ12:KZ13,"H1")+COUNTIF(KZ12:KZ13,"H2")+COUNTIF(KZ12:KZ13,"OY")+COUNTIF(KZ12:KZ13,"M")+COUNTIF(KZ12:KZ13,"V")+COUNTIF(KZ12:KZ13,"P"))/2)&lt;=1)</formula>
    </cfRule>
  </conditionalFormatting>
  <conditionalFormatting sqref="KZ24:LC24">
    <cfRule type="expression" dxfId="354" priority="388" stopIfTrue="1">
      <formula>AND(KZ$7&lt;&gt;"",VLOOKUP(KZ$8,$NX$23:$NY$30,2,0)&lt;&gt;"Yes")</formula>
    </cfRule>
    <cfRule type="expression" dxfId="353" priority="389" stopIfTrue="1">
      <formula>ISNUMBER(MATCH(DATE($B$4,$B$3+$B$5-1,KZ$7),HolidayListNamedRange,0))</formula>
    </cfRule>
  </conditionalFormatting>
  <conditionalFormatting sqref="KZ24:LC24">
    <cfRule type="expression" dxfId="352" priority="385">
      <formula>AND(((COUNTIF(KZ16:KZ23,"O")+COUNTIF(KZ16:KZ23,"L")+COUNTIF(KZ16:KZ23,"H1")+COUNTIF(KZ16:KZ23,"H2")+COUNTIF(KZ16:KZ23,"OY")+COUNTIF(KZ16:KZ23,"M")+COUNTIF(KZ16:KZ23,"V")+COUNTIF(KZ16:KZ23,"P"))/8)&gt;=0,((COUNTIF(KZ16:KZ23,"O")+COUNTIF(KZ16:KZ23,"L")+COUNTIF(KZ16:KZ23,"H1")+COUNTIF(KZ16:KZ23,"H2")+COUNTIF(KZ16:KZ23,"OY")+COUNTIF(KZ16:KZ23,"M")+COUNTIF(KZ16:KZ23,"V")+COUNTIF(KZ16:KZ23,"P"))/8)&lt;=0.2)</formula>
    </cfRule>
    <cfRule type="expression" dxfId="351" priority="386">
      <formula>AND(((COUNTIF(KZ16:KZ23,"O")+COUNTIF(KZ16:KZ23,"L")+COUNTIF(KZ16:KZ23,"H1")+COUNTIF(KZ16:KZ23,"H2")+COUNTIF(KZ16:KZ23,"OY")+COUNTIF(KZ16:KZ23,"M")+COUNTIF(KZ16:KZ23,"V")+COUNTIF(KZ16:KZ23,"P"))/8)&gt;0.2,((COUNTIF(KZ16:KZ23,"O")+COUNTIF(KZ16:KZ23,"L")+COUNTIF(KZ16:KZ23,"H1")+COUNTIF(KZ16:KZ23,"H2")+COUNTIF(KZ16:KZ23,"OY")+COUNTIF(KZ16:KZ23,"M")+COUNTIF(KZ16:KZ23,"V")+COUNTIF(KZ16:KZ23,"P"))/8)&lt;=0.4)</formula>
    </cfRule>
    <cfRule type="expression" dxfId="350" priority="387">
      <formula>AND(((COUNTIF(KZ16:KZ23,"O")+COUNTIF(KZ16:KZ23,"L")+COUNTIF(KZ16:KZ23,"H1")+COUNTIF(KZ16:KZ23,"H2")+COUNTIF(KZ16:KZ23,"OY")+COUNTIF(KZ16:KZ23,"M")+COUNTIF(KZ16:KZ23,"V")+COUNTIF(KZ16:KZ23,"P"))/8)&gt;=0.4,((COUNTIF(KZ16:KZ23,"O")+COUNTIF(KZ16:KZ23,"L")+COUNTIF(KZ16:KZ23,"H1")+COUNTIF(KZ16:KZ23,"H2")+COUNTIF(KZ16:KZ23,"OY")+COUNTIF(KZ16:KZ23,"M")+COUNTIF(KZ16:KZ23,"V")+COUNTIF(KZ16:KZ23,"P"))/8)&lt;=1)</formula>
    </cfRule>
  </conditionalFormatting>
  <conditionalFormatting sqref="LF10:LI13">
    <cfRule type="expression" dxfId="349" priority="373" stopIfTrue="1">
      <formula>AND(LF$7&lt;&gt;"",VLOOKUP(LF$8,$NX$25:$NY$32,2,0)&lt;&gt;"Yes")</formula>
    </cfRule>
    <cfRule type="expression" dxfId="348" priority="374" stopIfTrue="1">
      <formula>ISNUMBER(MATCH(DATE($B$4,$B$3+$B$5-1,LF$7),HolidayListNamedRange,0))</formula>
    </cfRule>
  </conditionalFormatting>
  <conditionalFormatting sqref="LF14:LI14">
    <cfRule type="expression" dxfId="347" priority="371" stopIfTrue="1">
      <formula>AND(LF$7&lt;&gt;"",VLOOKUP(LF$8,$NX$23:$NY$30,2,0)&lt;&gt;"Yes")</formula>
    </cfRule>
    <cfRule type="expression" dxfId="346" priority="372" stopIfTrue="1">
      <formula>ISNUMBER(MATCH(DATE($B$4,$B$3+$B$5-1,LF$7),HolidayListNamedRange,0))</formula>
    </cfRule>
  </conditionalFormatting>
  <conditionalFormatting sqref="LF14:LI14">
    <cfRule type="expression" dxfId="345" priority="368">
      <formula>AND(((COUNTIF(LF12:LF13,"O")+COUNTIF(LF12:LF13,"L")+COUNTIF(LF12:LF13,"H1")+COUNTIF(LF12:LF13,"H2")+COUNTIF(LF12:LF13,"OY")+COUNTIF(LF12:LF13,"M")+COUNTIF(LF12:LF13,"V")+COUNTIF(LF12:LF13,"P"))/2)&gt;=0,((COUNTIF(LF12:LF13,"O")+COUNTIF(LF12:LF13,"L")+COUNTIF(LF12:LF13,"H1")+COUNTIF(LF12:LF13,"H2")+COUNTIF(LF12:LF13,"OY")+COUNTIF(LF12:LF13,"M")+COUNTIF(LF12:LF13,"V")+COUNTIF(LF12:LF13,"P"))/2)&lt;=0.2)</formula>
    </cfRule>
    <cfRule type="expression" dxfId="344" priority="369">
      <formula>AND(((COUNTIF(LF12:LF13,"O")+COUNTIF(LF12:LF13,"L")+COUNTIF(LF12:LF13,"H1")+COUNTIF(LF12:LF13,"H2")+COUNTIF(LF12:LF13,"OY")+COUNTIF(LF12:LF13,"M")+COUNTIF(LF12:LF13,"V")+COUNTIF(LF12:LF13,"P"))/2)&gt;0.2,((COUNTIF(LF12:LF13,"O")+COUNTIF(LF12:LF13,"L")+COUNTIF(LF12:LF13,"H1")+COUNTIF(LF12:LF13,"H2")+COUNTIF(LF12:LF13,"OY")+COUNTIF(LF12:LF13,"M")+COUNTIF(LF12:LF13,"V")+COUNTIF(LF12:LF13,"P"))/2)&lt;=0.4)</formula>
    </cfRule>
    <cfRule type="expression" dxfId="343" priority="370">
      <formula>AND(((COUNTIF(LF12:LF13,"O")+COUNTIF(LF12:LF13,"L")+COUNTIF(LF12:LF13,"H1")+COUNTIF(LF12:LF13,"H2")+COUNTIF(LF12:LF13,"OY")+COUNTIF(LF12:LF13,"M")+COUNTIF(LF12:LF13,"V")+COUNTIF(LF12:LF13,"P"))/2)&gt;=0.4,((COUNTIF(LF12:LF13,"O")+COUNTIF(LF12:LF13,"L")+COUNTIF(LF12:LF13,"H1")+COUNTIF(LF12:LF13,"H2")+COUNTIF(LF12:LF13,"OY")+COUNTIF(LF12:LF13,"M")+COUNTIF(LF12:LF13,"V")+COUNTIF(LF12:LF13,"P"))/2)&lt;=1)</formula>
    </cfRule>
  </conditionalFormatting>
  <conditionalFormatting sqref="LF24:LI24">
    <cfRule type="expression" dxfId="342" priority="366" stopIfTrue="1">
      <formula>AND(LF$7&lt;&gt;"",VLOOKUP(LF$8,$NX$23:$NY$30,2,0)&lt;&gt;"Yes")</formula>
    </cfRule>
    <cfRule type="expression" dxfId="341" priority="367" stopIfTrue="1">
      <formula>ISNUMBER(MATCH(DATE($B$4,$B$3+$B$5-1,LF$7),HolidayListNamedRange,0))</formula>
    </cfRule>
  </conditionalFormatting>
  <conditionalFormatting sqref="LF24:LI24">
    <cfRule type="expression" dxfId="340" priority="363">
      <formula>AND(((COUNTIF(LF16:LF23,"O")+COUNTIF(LF16:LF23,"L")+COUNTIF(LF16:LF23,"H1")+COUNTIF(LF16:LF23,"H2")+COUNTIF(LF16:LF23,"OY")+COUNTIF(LF16:LF23,"M")+COUNTIF(LF16:LF23,"V")+COUNTIF(LF16:LF23,"P"))/8)&gt;=0,((COUNTIF(LF16:LF23,"O")+COUNTIF(LF16:LF23,"L")+COUNTIF(LF16:LF23,"H1")+COUNTIF(LF16:LF23,"H2")+COUNTIF(LF16:LF23,"OY")+COUNTIF(LF16:LF23,"M")+COUNTIF(LF16:LF23,"V")+COUNTIF(LF16:LF23,"P"))/8)&lt;=0.2)</formula>
    </cfRule>
    <cfRule type="expression" dxfId="339" priority="364">
      <formula>AND(((COUNTIF(LF16:LF23,"O")+COUNTIF(LF16:LF23,"L")+COUNTIF(LF16:LF23,"H1")+COUNTIF(LF16:LF23,"H2")+COUNTIF(LF16:LF23,"OY")+COUNTIF(LF16:LF23,"M")+COUNTIF(LF16:LF23,"V")+COUNTIF(LF16:LF23,"P"))/8)&gt;0.2,((COUNTIF(LF16:LF23,"O")+COUNTIF(LF16:LF23,"L")+COUNTIF(LF16:LF23,"H1")+COUNTIF(LF16:LF23,"H2")+COUNTIF(LF16:LF23,"OY")+COUNTIF(LF16:LF23,"M")+COUNTIF(LF16:LF23,"V")+COUNTIF(LF16:LF23,"P"))/8)&lt;=0.4)</formula>
    </cfRule>
    <cfRule type="expression" dxfId="338" priority="365">
      <formula>AND(((COUNTIF(LF16:LF23,"O")+COUNTIF(LF16:LF23,"L")+COUNTIF(LF16:LF23,"H1")+COUNTIF(LF16:LF23,"H2")+COUNTIF(LF16:LF23,"OY")+COUNTIF(LF16:LF23,"M")+COUNTIF(LF16:LF23,"V")+COUNTIF(LF16:LF23,"P"))/8)&gt;=0.4,((COUNTIF(LF16:LF23,"O")+COUNTIF(LF16:LF23,"L")+COUNTIF(LF16:LF23,"H1")+COUNTIF(LF16:LF23,"H2")+COUNTIF(LF16:LF23,"OY")+COUNTIF(LF16:LF23,"M")+COUNTIF(LF16:LF23,"V")+COUNTIF(LF16:LF23,"P"))/8)&lt;=1)</formula>
    </cfRule>
  </conditionalFormatting>
  <conditionalFormatting sqref="LM10:LQ13">
    <cfRule type="expression" dxfId="337" priority="351" stopIfTrue="1">
      <formula>AND(LM$7&lt;&gt;"",VLOOKUP(LM$8,$NX$25:$NY$32,2,0)&lt;&gt;"Yes")</formula>
    </cfRule>
    <cfRule type="expression" dxfId="336" priority="352" stopIfTrue="1">
      <formula>ISNUMBER(MATCH(DATE($B$4,$B$3+$B$5-1,LM$7),HolidayListNamedRange,0))</formula>
    </cfRule>
  </conditionalFormatting>
  <conditionalFormatting sqref="LM14:LQ14">
    <cfRule type="expression" dxfId="335" priority="349" stopIfTrue="1">
      <formula>AND(LM$7&lt;&gt;"",VLOOKUP(LM$8,$NX$23:$NY$30,2,0)&lt;&gt;"Yes")</formula>
    </cfRule>
    <cfRule type="expression" dxfId="334" priority="350" stopIfTrue="1">
      <formula>ISNUMBER(MATCH(DATE($B$4,$B$3+$B$5-1,LM$7),HolidayListNamedRange,0))</formula>
    </cfRule>
  </conditionalFormatting>
  <conditionalFormatting sqref="LM14:LQ14">
    <cfRule type="expression" dxfId="333" priority="346">
      <formula>AND(((COUNTIF(LM12:LM13,"O")+COUNTIF(LM12:LM13,"L")+COUNTIF(LM12:LM13,"H1")+COUNTIF(LM12:LM13,"H2")+COUNTIF(LM12:LM13,"OY")+COUNTIF(LM12:LM13,"M")+COUNTIF(LM12:LM13,"V")+COUNTIF(LM12:LM13,"P"))/2)&gt;=0,((COUNTIF(LM12:LM13,"O")+COUNTIF(LM12:LM13,"L")+COUNTIF(LM12:LM13,"H1")+COUNTIF(LM12:LM13,"H2")+COUNTIF(LM12:LM13,"OY")+COUNTIF(LM12:LM13,"M")+COUNTIF(LM12:LM13,"V")+COUNTIF(LM12:LM13,"P"))/2)&lt;=0.2)</formula>
    </cfRule>
    <cfRule type="expression" dxfId="332" priority="347">
      <formula>AND(((COUNTIF(LM12:LM13,"O")+COUNTIF(LM12:LM13,"L")+COUNTIF(LM12:LM13,"H1")+COUNTIF(LM12:LM13,"H2")+COUNTIF(LM12:LM13,"OY")+COUNTIF(LM12:LM13,"M")+COUNTIF(LM12:LM13,"V")+COUNTIF(LM12:LM13,"P"))/2)&gt;0.2,((COUNTIF(LM12:LM13,"O")+COUNTIF(LM12:LM13,"L")+COUNTIF(LM12:LM13,"H1")+COUNTIF(LM12:LM13,"H2")+COUNTIF(LM12:LM13,"OY")+COUNTIF(LM12:LM13,"M")+COUNTIF(LM12:LM13,"V")+COUNTIF(LM12:LM13,"P"))/2)&lt;=0.4)</formula>
    </cfRule>
    <cfRule type="expression" dxfId="331" priority="348">
      <formula>AND(((COUNTIF(LM12:LM13,"O")+COUNTIF(LM12:LM13,"L")+COUNTIF(LM12:LM13,"H1")+COUNTIF(LM12:LM13,"H2")+COUNTIF(LM12:LM13,"OY")+COUNTIF(LM12:LM13,"M")+COUNTIF(LM12:LM13,"V")+COUNTIF(LM12:LM13,"P"))/2)&gt;=0.4,((COUNTIF(LM12:LM13,"O")+COUNTIF(LM12:LM13,"L")+COUNTIF(LM12:LM13,"H1")+COUNTIF(LM12:LM13,"H2")+COUNTIF(LM12:LM13,"OY")+COUNTIF(LM12:LM13,"M")+COUNTIF(LM12:LM13,"V")+COUNTIF(LM12:LM13,"P"))/2)&lt;=1)</formula>
    </cfRule>
  </conditionalFormatting>
  <conditionalFormatting sqref="LM24:LQ24">
    <cfRule type="expression" dxfId="330" priority="344" stopIfTrue="1">
      <formula>AND(LM$7&lt;&gt;"",VLOOKUP(LM$8,$NX$23:$NY$30,2,0)&lt;&gt;"Yes")</formula>
    </cfRule>
    <cfRule type="expression" dxfId="329" priority="345" stopIfTrue="1">
      <formula>ISNUMBER(MATCH(DATE($B$4,$B$3+$B$5-1,LM$7),HolidayListNamedRange,0))</formula>
    </cfRule>
  </conditionalFormatting>
  <conditionalFormatting sqref="LM24:LQ24">
    <cfRule type="expression" dxfId="328" priority="341">
      <formula>AND(((COUNTIF(LM16:LM23,"O")+COUNTIF(LM16:LM23,"L")+COUNTIF(LM16:LM23,"H1")+COUNTIF(LM16:LM23,"H2")+COUNTIF(LM16:LM23,"OY")+COUNTIF(LM16:LM23,"M")+COUNTIF(LM16:LM23,"V")+COUNTIF(LM16:LM23,"P"))/8)&gt;=0,((COUNTIF(LM16:LM23,"O")+COUNTIF(LM16:LM23,"L")+COUNTIF(LM16:LM23,"H1")+COUNTIF(LM16:LM23,"H2")+COUNTIF(LM16:LM23,"OY")+COUNTIF(LM16:LM23,"M")+COUNTIF(LM16:LM23,"V")+COUNTIF(LM16:LM23,"P"))/8)&lt;=0.2)</formula>
    </cfRule>
    <cfRule type="expression" dxfId="327" priority="342">
      <formula>AND(((COUNTIF(LM16:LM23,"O")+COUNTIF(LM16:LM23,"L")+COUNTIF(LM16:LM23,"H1")+COUNTIF(LM16:LM23,"H2")+COUNTIF(LM16:LM23,"OY")+COUNTIF(LM16:LM23,"M")+COUNTIF(LM16:LM23,"V")+COUNTIF(LM16:LM23,"P"))/8)&gt;0.2,((COUNTIF(LM16:LM23,"O")+COUNTIF(LM16:LM23,"L")+COUNTIF(LM16:LM23,"H1")+COUNTIF(LM16:LM23,"H2")+COUNTIF(LM16:LM23,"OY")+COUNTIF(LM16:LM23,"M")+COUNTIF(LM16:LM23,"V")+COUNTIF(LM16:LM23,"P"))/8)&lt;=0.4)</formula>
    </cfRule>
    <cfRule type="expression" dxfId="326" priority="343">
      <formula>AND(((COUNTIF(LM16:LM23,"O")+COUNTIF(LM16:LM23,"L")+COUNTIF(LM16:LM23,"H1")+COUNTIF(LM16:LM23,"H2")+COUNTIF(LM16:LM23,"OY")+COUNTIF(LM16:LM23,"M")+COUNTIF(LM16:LM23,"V")+COUNTIF(LM16:LM23,"P"))/8)&gt;=0.4,((COUNTIF(LM16:LM23,"O")+COUNTIF(LM16:LM23,"L")+COUNTIF(LM16:LM23,"H1")+COUNTIF(LM16:LM23,"H2")+COUNTIF(LM16:LM23,"OY")+COUNTIF(LM16:LM23,"M")+COUNTIF(LM16:LM23,"V")+COUNTIF(LM16:LM23,"P"))/8)&lt;=1)</formula>
    </cfRule>
  </conditionalFormatting>
  <conditionalFormatting sqref="LT10:LX13">
    <cfRule type="expression" dxfId="325" priority="329" stopIfTrue="1">
      <formula>AND(LT$7&lt;&gt;"",VLOOKUP(LT$8,$NX$25:$NY$32,2,0)&lt;&gt;"Yes")</formula>
    </cfRule>
    <cfRule type="expression" dxfId="324" priority="330" stopIfTrue="1">
      <formula>ISNUMBER(MATCH(DATE($B$4,$B$3+$B$5-1,LT$7),HolidayListNamedRange,0))</formula>
    </cfRule>
  </conditionalFormatting>
  <conditionalFormatting sqref="LT14:LX14">
    <cfRule type="expression" dxfId="323" priority="327" stopIfTrue="1">
      <formula>AND(LT$7&lt;&gt;"",VLOOKUP(LT$8,$NX$23:$NY$30,2,0)&lt;&gt;"Yes")</formula>
    </cfRule>
    <cfRule type="expression" dxfId="322" priority="328" stopIfTrue="1">
      <formula>ISNUMBER(MATCH(DATE($B$4,$B$3+$B$5-1,LT$7),HolidayListNamedRange,0))</formula>
    </cfRule>
  </conditionalFormatting>
  <conditionalFormatting sqref="LT14:LX14">
    <cfRule type="expression" dxfId="321" priority="324">
      <formula>AND(((COUNTIF(LT12:LT13,"O")+COUNTIF(LT12:LT13,"L")+COUNTIF(LT12:LT13,"H1")+COUNTIF(LT12:LT13,"H2")+COUNTIF(LT12:LT13,"OY")+COUNTIF(LT12:LT13,"M")+COUNTIF(LT12:LT13,"V")+COUNTIF(LT12:LT13,"P"))/2)&gt;=0,((COUNTIF(LT12:LT13,"O")+COUNTIF(LT12:LT13,"L")+COUNTIF(LT12:LT13,"H1")+COUNTIF(LT12:LT13,"H2")+COUNTIF(LT12:LT13,"OY")+COUNTIF(LT12:LT13,"M")+COUNTIF(LT12:LT13,"V")+COUNTIF(LT12:LT13,"P"))/2)&lt;=0.2)</formula>
    </cfRule>
    <cfRule type="expression" dxfId="320" priority="325">
      <formula>AND(((COUNTIF(LT12:LT13,"O")+COUNTIF(LT12:LT13,"L")+COUNTIF(LT12:LT13,"H1")+COUNTIF(LT12:LT13,"H2")+COUNTIF(LT12:LT13,"OY")+COUNTIF(LT12:LT13,"M")+COUNTIF(LT12:LT13,"V")+COUNTIF(LT12:LT13,"P"))/2)&gt;0.2,((COUNTIF(LT12:LT13,"O")+COUNTIF(LT12:LT13,"L")+COUNTIF(LT12:LT13,"H1")+COUNTIF(LT12:LT13,"H2")+COUNTIF(LT12:LT13,"OY")+COUNTIF(LT12:LT13,"M")+COUNTIF(LT12:LT13,"V")+COUNTIF(LT12:LT13,"P"))/2)&lt;=0.4)</formula>
    </cfRule>
    <cfRule type="expression" dxfId="319" priority="326">
      <formula>AND(((COUNTIF(LT12:LT13,"O")+COUNTIF(LT12:LT13,"L")+COUNTIF(LT12:LT13,"H1")+COUNTIF(LT12:LT13,"H2")+COUNTIF(LT12:LT13,"OY")+COUNTIF(LT12:LT13,"M")+COUNTIF(LT12:LT13,"V")+COUNTIF(LT12:LT13,"P"))/2)&gt;=0.4,((COUNTIF(LT12:LT13,"O")+COUNTIF(LT12:LT13,"L")+COUNTIF(LT12:LT13,"H1")+COUNTIF(LT12:LT13,"H2")+COUNTIF(LT12:LT13,"OY")+COUNTIF(LT12:LT13,"M")+COUNTIF(LT12:LT13,"V")+COUNTIF(LT12:LT13,"P"))/2)&lt;=1)</formula>
    </cfRule>
  </conditionalFormatting>
  <conditionalFormatting sqref="LT24:LX24">
    <cfRule type="expression" dxfId="318" priority="322" stopIfTrue="1">
      <formula>AND(LT$7&lt;&gt;"",VLOOKUP(LT$8,$NX$23:$NY$30,2,0)&lt;&gt;"Yes")</formula>
    </cfRule>
    <cfRule type="expression" dxfId="317" priority="323" stopIfTrue="1">
      <formula>ISNUMBER(MATCH(DATE($B$4,$B$3+$B$5-1,LT$7),HolidayListNamedRange,0))</formula>
    </cfRule>
  </conditionalFormatting>
  <conditionalFormatting sqref="LT24:LX24">
    <cfRule type="expression" dxfId="316" priority="319">
      <formula>AND(((COUNTIF(LT16:LT23,"O")+COUNTIF(LT16:LT23,"L")+COUNTIF(LT16:LT23,"H1")+COUNTIF(LT16:LT23,"H2")+COUNTIF(LT16:LT23,"OY")+COUNTIF(LT16:LT23,"M")+COUNTIF(LT16:LT23,"V")+COUNTIF(LT16:LT23,"P"))/8)&gt;=0,((COUNTIF(LT16:LT23,"O")+COUNTIF(LT16:LT23,"L")+COUNTIF(LT16:LT23,"H1")+COUNTIF(LT16:LT23,"H2")+COUNTIF(LT16:LT23,"OY")+COUNTIF(LT16:LT23,"M")+COUNTIF(LT16:LT23,"V")+COUNTIF(LT16:LT23,"P"))/8)&lt;=0.2)</formula>
    </cfRule>
    <cfRule type="expression" dxfId="315" priority="320">
      <formula>AND(((COUNTIF(LT16:LT23,"O")+COUNTIF(LT16:LT23,"L")+COUNTIF(LT16:LT23,"H1")+COUNTIF(LT16:LT23,"H2")+COUNTIF(LT16:LT23,"OY")+COUNTIF(LT16:LT23,"M")+COUNTIF(LT16:LT23,"V")+COUNTIF(LT16:LT23,"P"))/8)&gt;0.2,((COUNTIF(LT16:LT23,"O")+COUNTIF(LT16:LT23,"L")+COUNTIF(LT16:LT23,"H1")+COUNTIF(LT16:LT23,"H2")+COUNTIF(LT16:LT23,"OY")+COUNTIF(LT16:LT23,"M")+COUNTIF(LT16:LT23,"V")+COUNTIF(LT16:LT23,"P"))/8)&lt;=0.4)</formula>
    </cfRule>
    <cfRule type="expression" dxfId="314" priority="321">
      <formula>AND(((COUNTIF(LT16:LT23,"O")+COUNTIF(LT16:LT23,"L")+COUNTIF(LT16:LT23,"H1")+COUNTIF(LT16:LT23,"H2")+COUNTIF(LT16:LT23,"OY")+COUNTIF(LT16:LT23,"M")+COUNTIF(LT16:LT23,"V")+COUNTIF(LT16:LT23,"P"))/8)&gt;=0.4,((COUNTIF(LT16:LT23,"O")+COUNTIF(LT16:LT23,"L")+COUNTIF(LT16:LT23,"H1")+COUNTIF(LT16:LT23,"H2")+COUNTIF(LT16:LT23,"OY")+COUNTIF(LT16:LT23,"M")+COUNTIF(LT16:LT23,"V")+COUNTIF(LT16:LT23,"P"))/8)&lt;=1)</formula>
    </cfRule>
  </conditionalFormatting>
  <conditionalFormatting sqref="MA10:MD13">
    <cfRule type="expression" dxfId="313" priority="307" stopIfTrue="1">
      <formula>AND(MA$7&lt;&gt;"",VLOOKUP(MA$8,$NX$25:$NY$32,2,0)&lt;&gt;"Yes")</formula>
    </cfRule>
    <cfRule type="expression" dxfId="312" priority="308" stopIfTrue="1">
      <formula>ISNUMBER(MATCH(DATE($B$4,$B$3+$B$5-1,MA$7),HolidayListNamedRange,0))</formula>
    </cfRule>
  </conditionalFormatting>
  <conditionalFormatting sqref="MA14:MD14">
    <cfRule type="expression" dxfId="311" priority="305" stopIfTrue="1">
      <formula>AND(MA$7&lt;&gt;"",VLOOKUP(MA$8,$NX$23:$NY$30,2,0)&lt;&gt;"Yes")</formula>
    </cfRule>
    <cfRule type="expression" dxfId="310" priority="306" stopIfTrue="1">
      <formula>ISNUMBER(MATCH(DATE($B$4,$B$3+$B$5-1,MA$7),HolidayListNamedRange,0))</formula>
    </cfRule>
  </conditionalFormatting>
  <conditionalFormatting sqref="MA14:MD14">
    <cfRule type="expression" dxfId="309" priority="302">
      <formula>AND(((COUNTIF(MA12:MA13,"O")+COUNTIF(MA12:MA13,"L")+COUNTIF(MA12:MA13,"H1")+COUNTIF(MA12:MA13,"H2")+COUNTIF(MA12:MA13,"OY")+COUNTIF(MA12:MA13,"M")+COUNTIF(MA12:MA13,"V")+COUNTIF(MA12:MA13,"P"))/2)&gt;=0,((COUNTIF(MA12:MA13,"O")+COUNTIF(MA12:MA13,"L")+COUNTIF(MA12:MA13,"H1")+COUNTIF(MA12:MA13,"H2")+COUNTIF(MA12:MA13,"OY")+COUNTIF(MA12:MA13,"M")+COUNTIF(MA12:MA13,"V")+COUNTIF(MA12:MA13,"P"))/2)&lt;=0.2)</formula>
    </cfRule>
    <cfRule type="expression" dxfId="308" priority="303">
      <formula>AND(((COUNTIF(MA12:MA13,"O")+COUNTIF(MA12:MA13,"L")+COUNTIF(MA12:MA13,"H1")+COUNTIF(MA12:MA13,"H2")+COUNTIF(MA12:MA13,"OY")+COUNTIF(MA12:MA13,"M")+COUNTIF(MA12:MA13,"V")+COUNTIF(MA12:MA13,"P"))/2)&gt;0.2,((COUNTIF(MA12:MA13,"O")+COUNTIF(MA12:MA13,"L")+COUNTIF(MA12:MA13,"H1")+COUNTIF(MA12:MA13,"H2")+COUNTIF(MA12:MA13,"OY")+COUNTIF(MA12:MA13,"M")+COUNTIF(MA12:MA13,"V")+COUNTIF(MA12:MA13,"P"))/2)&lt;=0.4)</formula>
    </cfRule>
    <cfRule type="expression" dxfId="307" priority="304">
      <formula>AND(((COUNTIF(MA12:MA13,"O")+COUNTIF(MA12:MA13,"L")+COUNTIF(MA12:MA13,"H1")+COUNTIF(MA12:MA13,"H2")+COUNTIF(MA12:MA13,"OY")+COUNTIF(MA12:MA13,"M")+COUNTIF(MA12:MA13,"V")+COUNTIF(MA12:MA13,"P"))/2)&gt;=0.4,((COUNTIF(MA12:MA13,"O")+COUNTIF(MA12:MA13,"L")+COUNTIF(MA12:MA13,"H1")+COUNTIF(MA12:MA13,"H2")+COUNTIF(MA12:MA13,"OY")+COUNTIF(MA12:MA13,"M")+COUNTIF(MA12:MA13,"V")+COUNTIF(MA12:MA13,"P"))/2)&lt;=1)</formula>
    </cfRule>
  </conditionalFormatting>
  <conditionalFormatting sqref="MA24:MD24">
    <cfRule type="expression" dxfId="306" priority="300" stopIfTrue="1">
      <formula>AND(MA$7&lt;&gt;"",VLOOKUP(MA$8,$NX$23:$NY$30,2,0)&lt;&gt;"Yes")</formula>
    </cfRule>
    <cfRule type="expression" dxfId="305" priority="301" stopIfTrue="1">
      <formula>ISNUMBER(MATCH(DATE($B$4,$B$3+$B$5-1,MA$7),HolidayListNamedRange,0))</formula>
    </cfRule>
  </conditionalFormatting>
  <conditionalFormatting sqref="MA24:MD24">
    <cfRule type="expression" dxfId="304" priority="297">
      <formula>AND(((COUNTIF(MA16:MA23,"O")+COUNTIF(MA16:MA23,"L")+COUNTIF(MA16:MA23,"H1")+COUNTIF(MA16:MA23,"H2")+COUNTIF(MA16:MA23,"OY")+COUNTIF(MA16:MA23,"M")+COUNTIF(MA16:MA23,"V")+COUNTIF(MA16:MA23,"P"))/8)&gt;=0,((COUNTIF(MA16:MA23,"O")+COUNTIF(MA16:MA23,"L")+COUNTIF(MA16:MA23,"H1")+COUNTIF(MA16:MA23,"H2")+COUNTIF(MA16:MA23,"OY")+COUNTIF(MA16:MA23,"M")+COUNTIF(MA16:MA23,"V")+COUNTIF(MA16:MA23,"P"))/8)&lt;=0.2)</formula>
    </cfRule>
    <cfRule type="expression" dxfId="303" priority="298">
      <formula>AND(((COUNTIF(MA16:MA23,"O")+COUNTIF(MA16:MA23,"L")+COUNTIF(MA16:MA23,"H1")+COUNTIF(MA16:MA23,"H2")+COUNTIF(MA16:MA23,"OY")+COUNTIF(MA16:MA23,"M")+COUNTIF(MA16:MA23,"V")+COUNTIF(MA16:MA23,"P"))/8)&gt;0.2,((COUNTIF(MA16:MA23,"O")+COUNTIF(MA16:MA23,"L")+COUNTIF(MA16:MA23,"H1")+COUNTIF(MA16:MA23,"H2")+COUNTIF(MA16:MA23,"OY")+COUNTIF(MA16:MA23,"M")+COUNTIF(MA16:MA23,"V")+COUNTIF(MA16:MA23,"P"))/8)&lt;=0.4)</formula>
    </cfRule>
    <cfRule type="expression" dxfId="302" priority="299">
      <formula>AND(((COUNTIF(MA16:MA23,"O")+COUNTIF(MA16:MA23,"L")+COUNTIF(MA16:MA23,"H1")+COUNTIF(MA16:MA23,"H2")+COUNTIF(MA16:MA23,"OY")+COUNTIF(MA16:MA23,"M")+COUNTIF(MA16:MA23,"V")+COUNTIF(MA16:MA23,"P"))/8)&gt;=0.4,((COUNTIF(MA16:MA23,"O")+COUNTIF(MA16:MA23,"L")+COUNTIF(MA16:MA23,"H1")+COUNTIF(MA16:MA23,"H2")+COUNTIF(MA16:MA23,"OY")+COUNTIF(MA16:MA23,"M")+COUNTIF(MA16:MA23,"V")+COUNTIF(MA16:MA23,"P"))/8)&lt;=1)</formula>
    </cfRule>
  </conditionalFormatting>
  <conditionalFormatting sqref="ME10:MF13">
    <cfRule type="expression" dxfId="301" priority="285" stopIfTrue="1">
      <formula>AND(ME$7&lt;&gt;"",VLOOKUP(ME$8,$NX$25:$NY$32,2,0)&lt;&gt;"Yes")</formula>
    </cfRule>
    <cfRule type="expression" dxfId="300" priority="286" stopIfTrue="1">
      <formula>ISNUMBER(MATCH(DATE($B$4,$B$3+$B$5-1,ME$7),HolidayListNamedRange,0))</formula>
    </cfRule>
  </conditionalFormatting>
  <conditionalFormatting sqref="MI10:MM13">
    <cfRule type="expression" dxfId="299" priority="263" stopIfTrue="1">
      <formula>AND(MI$7&lt;&gt;"",VLOOKUP(MI$8,$NX$25:$NY$32,2,0)&lt;&gt;"Yes")</formula>
    </cfRule>
    <cfRule type="expression" dxfId="298" priority="264" stopIfTrue="1">
      <formula>ISNUMBER(MATCH(DATE($B$4,$B$3+$B$5-1,MI$7),HolidayListNamedRange,0))</formula>
    </cfRule>
  </conditionalFormatting>
  <conditionalFormatting sqref="MP10:MT10 MP12:MT13 MP11 MR11:MT11">
    <cfRule type="expression" dxfId="297" priority="241" stopIfTrue="1">
      <formula>AND(MP$7&lt;&gt;"",VLOOKUP(MP$8,$NX$25:$NY$32,2,0)&lt;&gt;"Yes")</formula>
    </cfRule>
    <cfRule type="expression" dxfId="296" priority="242" stopIfTrue="1">
      <formula>ISNUMBER(MATCH(DATE($B$4,$B$3+$B$5-1,MP$7),HolidayListNamedRange,0))</formula>
    </cfRule>
  </conditionalFormatting>
  <conditionalFormatting sqref="MW10:MW13">
    <cfRule type="expression" dxfId="295" priority="219" stopIfTrue="1">
      <formula>AND(MW$7&lt;&gt;"",VLOOKUP(MW$8,$NX$25:$NY$32,2,0)&lt;&gt;"Yes")</formula>
    </cfRule>
    <cfRule type="expression" dxfId="294" priority="220" stopIfTrue="1">
      <formula>ISNUMBER(MATCH(DATE($B$4,$B$3+$B$5-1,MW$7),HolidayListNamedRange,0))</formula>
    </cfRule>
  </conditionalFormatting>
  <conditionalFormatting sqref="MX10:NA13">
    <cfRule type="expression" dxfId="293" priority="197" stopIfTrue="1">
      <formula>AND(MX$7&lt;&gt;"",VLOOKUP(MX$8,$NX$25:$NY$32,2,0)&lt;&gt;"Yes")</formula>
    </cfRule>
    <cfRule type="expression" dxfId="292" priority="198" stopIfTrue="1">
      <formula>ISNUMBER(MATCH(DATE($B$4,$B$3+$B$5-1,MX$7),HolidayListNamedRange,0))</formula>
    </cfRule>
  </conditionalFormatting>
  <conditionalFormatting sqref="NE10:NH13">
    <cfRule type="expression" dxfId="291" priority="175" stopIfTrue="1">
      <formula>AND(NE$7&lt;&gt;"",VLOOKUP(NE$8,$NX$25:$NY$32,2,0)&lt;&gt;"Yes")</formula>
    </cfRule>
    <cfRule type="expression" dxfId="290" priority="176" stopIfTrue="1">
      <formula>ISNUMBER(MATCH(DATE($B$4,$B$3+$B$5-1,NE$7),HolidayListNamedRange,0))</formula>
    </cfRule>
  </conditionalFormatting>
  <conditionalFormatting sqref="D40:H40 K40:O40 R40:V40 Y40:AC40 AF40:AJ40 AM40:AQ40 AT40:AX40 BB40:BE40 BH40:BO40 BR40:BV40 BY40:CC40 CF40:CJ40 CM40:CQ40 CT40:CX40 DA40:DE40 DH40:DL40 DO40:DS40 DU40 DW40:EA40 ED40:EH40 EK40:EO40 ER40:EV40 EY40:FC40 FF40:FJ40 FM40:FQ40 FT40:FX40 GA40:GE40 GI40:GM40 GP40:GT40 GW40:HA40 HD40:HH40 HL40:HO40 HR40:HV40 HY40:IC40 IF40:IJ40 IM40:IQ40 IU40:IX40 JA40:JE40 JH40:JL40 JO40:JR40 JT40 JW40:KA40 KE40:KH40 KK40:KO40 KR40:KV40 KY40:LC40 LF40:LI40 LM40:LQ40 LT40:LX40 MA40:MD40 MF40">
    <cfRule type="expression" dxfId="289" priority="2204">
      <formula>AND(((COUNTIF(D27:D39,"O")+COUNTIF(D27:D39,"L")+COUNTIF(D27:D39,"H1")+COUNTIF(D27:D39,"H2")+COUNTIF(D27:D39,"OY")+COUNTIF(D27:D39,"M")+COUNTIF(D27:D39,"V")+COUNTIF(D27:D39,"P"))/13)&gt;=0,((COUNTIF(D27:D39,"O")+COUNTIF(D27:D39,"L")+COUNTIF(D27:D39,"H1")+COUNTIF(D27:D39,"H2")+COUNTIF(D27:D39,"OY")+COUNTIF(D27:D39,"M")+COUNTIF(D27:D39,"V")+COUNTIF(D27:D39,"P"))/13)&lt;=0.2)</formula>
    </cfRule>
    <cfRule type="expression" dxfId="288" priority="2205">
      <formula>AND(((COUNTIF(D27:D39,"O")+COUNTIF(D27:D39,"L")+COUNTIF(D27:D39,"H1")+COUNTIF(D27:D39,"H2")+COUNTIF(D27:D39,"OY")+COUNTIF(D27:D39,"M")+COUNTIF(D27:D39,"V")+COUNTIF(D27:D39,"P"))/13)&gt;0.2,((COUNTIF(D27:D39,"O")+COUNTIF(D27:D39,"L")+COUNTIF(D27:D39,"H1")+COUNTIF(D27:D39,"H2")+COUNTIF(D27:D39,"OY")+COUNTIF(D27:D39,"M")+COUNTIF(D27:D39,"V")+COUNTIF(D27:D39,"P"))/13)&lt;=0.4)</formula>
    </cfRule>
    <cfRule type="expression" dxfId="287" priority="2206">
      <formula>AND(((COUNTIF(D27:D39,"O")+COUNTIF(D27:D39,"L")+COUNTIF(D27:D39,"H1")+COUNTIF(D27:D39,"H2")+COUNTIF(D27:D39,"OY")+COUNTIF(D27:D39,"M")+COUNTIF(D27:D39,"V")+COUNTIF(D27:D39,"P"))/13)&gt;=0.4,((COUNTIF(D27:D39,"O")+COUNTIF(D27:D39,"L")+COUNTIF(D27:D39,"H1")+COUNTIF(D27:D39,"H2")+COUNTIF(D27:D39,"OY")+COUNTIF(D27:D39,"M")+COUNTIF(D27:D39,"V")+COUNTIF(D27:D39,"P"))/13)&lt;=1)</formula>
    </cfRule>
  </conditionalFormatting>
  <conditionalFormatting sqref="ML45:MM45">
    <cfRule type="expression" dxfId="286" priority="146" stopIfTrue="1">
      <formula>AND(ML$7&lt;&gt;"",VLOOKUP(ML$8,$NX$23:$NY$30,2,0)&lt;&gt;"Yes")</formula>
    </cfRule>
    <cfRule type="expression" dxfId="285" priority="147" stopIfTrue="1">
      <formula>ISNUMBER(MATCH(DATE($B$4,$B$3+$B$5-1,ML$7),HolidayListNamedRange,0))</formula>
    </cfRule>
  </conditionalFormatting>
  <conditionalFormatting sqref="MN45:MO45">
    <cfRule type="expression" dxfId="284" priority="148" stopIfTrue="1">
      <formula>AND(MN$7&lt;&gt;"",VLOOKUP(MN$8,$NX$25:$NY$32,2,0)&lt;&gt;"Yes")</formula>
    </cfRule>
    <cfRule type="expression" dxfId="283" priority="149" stopIfTrue="1">
      <formula>ISNUMBER(MATCH(DATE($B$4,$B$3+$B$5-1,MN$7),HolidayListNamedRange,0))</formula>
    </cfRule>
  </conditionalFormatting>
  <conditionalFormatting sqref="ME45:MF45">
    <cfRule type="expression" dxfId="282" priority="141" stopIfTrue="1">
      <formula>AND(ME$7&lt;&gt;"",VLOOKUP(ME$8,$NX$23:$NY$30,2,0)&lt;&gt;"Yes")</formula>
    </cfRule>
    <cfRule type="expression" dxfId="281" priority="142" stopIfTrue="1">
      <formula>ISNUMBER(MATCH(DATE($B$4,$B$3+$B$5-1,ME$7),HolidayListNamedRange,0))</formula>
    </cfRule>
  </conditionalFormatting>
  <conditionalFormatting sqref="MI45:MK45">
    <cfRule type="expression" dxfId="280" priority="136" stopIfTrue="1">
      <formula>AND(MI$7&lt;&gt;"",VLOOKUP(MI$8,$NX$23:$NY$30,2,0)&lt;&gt;"Yes")</formula>
    </cfRule>
    <cfRule type="expression" dxfId="279" priority="137" stopIfTrue="1">
      <formula>ISNUMBER(MATCH(DATE($B$4,$B$3+$B$5-1,MI$7),HolidayListNamedRange,0))</formula>
    </cfRule>
  </conditionalFormatting>
  <conditionalFormatting sqref="ME43:MF43">
    <cfRule type="expression" dxfId="278" priority="131" stopIfTrue="1">
      <formula>AND(ME$7&lt;&gt;"",VLOOKUP(ME$8,$NX$23:$NY$30,2,0)&lt;&gt;"Yes")</formula>
    </cfRule>
    <cfRule type="expression" dxfId="277" priority="132" stopIfTrue="1">
      <formula>ISNUMBER(MATCH(DATE($B$4,$B$3+$B$5-1,ME$7),HolidayListNamedRange,0))</formula>
    </cfRule>
  </conditionalFormatting>
  <conditionalFormatting sqref="MI43:MM43">
    <cfRule type="expression" dxfId="276" priority="126" stopIfTrue="1">
      <formula>AND(MI$7&lt;&gt;"",VLOOKUP(MI$8,$NX$23:$NY$30,2,0)&lt;&gt;"Yes")</formula>
    </cfRule>
    <cfRule type="expression" dxfId="275" priority="127" stopIfTrue="1">
      <formula>ISNUMBER(MATCH(DATE($B$4,$B$3+$B$5-1,MI$7),HolidayListNamedRange,0))</formula>
    </cfRule>
  </conditionalFormatting>
  <conditionalFormatting sqref="MP43:MT43">
    <cfRule type="expression" dxfId="274" priority="121" stopIfTrue="1">
      <formula>AND(MP$7&lt;&gt;"",VLOOKUP(MP$8,$NX$23:$NY$30,2,0)&lt;&gt;"Yes")</formula>
    </cfRule>
    <cfRule type="expression" dxfId="273" priority="122" stopIfTrue="1">
      <formula>ISNUMBER(MATCH(DATE($B$4,$B$3+$B$5-1,MP$7),HolidayListNamedRange,0))</formula>
    </cfRule>
  </conditionalFormatting>
  <conditionalFormatting sqref="MW43:NA43">
    <cfRule type="expression" dxfId="272" priority="116" stopIfTrue="1">
      <formula>AND(MW$7&lt;&gt;"",VLOOKUP(MW$8,$NX$23:$NY$30,2,0)&lt;&gt;"Yes")</formula>
    </cfRule>
    <cfRule type="expression" dxfId="271" priority="117" stopIfTrue="1">
      <formula>ISNUMBER(MATCH(DATE($B$4,$B$3+$B$5-1,MW$7),HolidayListNamedRange,0))</formula>
    </cfRule>
  </conditionalFormatting>
  <conditionalFormatting sqref="NE43:NH43">
    <cfRule type="expression" dxfId="270" priority="111" stopIfTrue="1">
      <formula>AND(NE$7&lt;&gt;"",VLOOKUP(NE$8,$NX$23:$NY$30,2,0)&lt;&gt;"Yes")</formula>
    </cfRule>
    <cfRule type="expression" dxfId="269" priority="112" stopIfTrue="1">
      <formula>ISNUMBER(MATCH(DATE($B$4,$B$3+$B$5-1,NE$7),HolidayListNamedRange,0))</formula>
    </cfRule>
  </conditionalFormatting>
  <conditionalFormatting sqref="MP14:MT14">
    <cfRule type="expression" dxfId="268" priority="104" stopIfTrue="1">
      <formula>AND(MP$7&lt;&gt;"",VLOOKUP(MP$8,$NX$23:$NY$30,2,0)&lt;&gt;"Yes")</formula>
    </cfRule>
    <cfRule type="expression" dxfId="267" priority="105" stopIfTrue="1">
      <formula>ISNUMBER(MATCH(DATE($B$4,$B$3+$B$5-1,MP$7),HolidayListNamedRange,0))</formula>
    </cfRule>
  </conditionalFormatting>
  <conditionalFormatting sqref="MP14:MT14">
    <cfRule type="expression" dxfId="266" priority="101">
      <formula>AND(((COUNTIF(MP11:MP13,"O")+COUNTIF(MP11:MP13,"L")+COUNTIF(MP11:MP13,"H1")+COUNTIF(MP11:MP13,"H2")+COUNTIF(MP11:MP13,"OY")+COUNTIF(MP11:MP13,"M")+COUNTIF(MP11:MP13,"V")+COUNTIF(MP11:MP13,"P"))/2)&gt;=0,((COUNTIF(MP11:MP13,"O")+COUNTIF(MP11:MP13,"L")+COUNTIF(MP11:MP13,"H1")+COUNTIF(MP11:MP13,"H2")+COUNTIF(MP11:MP13,"OY")+COUNTIF(MP11:MP13,"M")+COUNTIF(MP11:MP13,"V")+COUNTIF(MP11:MP13,"P"))/3)&lt;=0.2)</formula>
    </cfRule>
    <cfRule type="expression" dxfId="265" priority="102">
      <formula>AND(((COUNTIF(MP11:MP13,"O")+COUNTIF(MP11:MP13,"L")+COUNTIF(MP11:MP13,"H1")+COUNTIF(MP11:MP13,"H2")+COUNTIF(MP11:MP13,"OY")+COUNTIF(MP11:MP13,"M")+COUNTIF(MP11:MP13,"V")+COUNTIF(MP11:MP13,"P"))/2)&gt;=0,((COUNTIF(MP11:MP13,"O")+COUNTIF(MP11:MP13,"L")+COUNTIF(MP11:MP13,"H1")+COUNTIF(MP11:MP13,"H2")+COUNTIF(MP11:MP13,"OY")+COUNTIF(MP11:MP13,"M")+COUNTIF(MP11:MP13,"V")+COUNTIF(MP11:MP13,"P"))/3)&lt;=0.4)</formula>
    </cfRule>
    <cfRule type="expression" dxfId="264" priority="103">
      <formula>AND(((COUNTIF(MP11:MP13,"O")+COUNTIF(MP11:MP13,"L")+COUNTIF(MP11:MP13,"H1")+COUNTIF(MP11:MP13,"H2")+COUNTIF(MP11:MP13,"OY")+COUNTIF(MP11:MP13,"M")+COUNTIF(MP11:MP13,"V")+COUNTIF(MP11:MP13,"P"))/2)&gt;=0,((COUNTIF(MP11:MP13,"O")+COUNTIF(MP11:MP13,"L")+COUNTIF(MP11:MP13,"H1")+COUNTIF(MP11:MP13,"H2")+COUNTIF(MP11:MP13,"OY")+COUNTIF(MP11:MP13,"M")+COUNTIF(MP11:MP13,"V")+COUNTIF(MP11:MP13,"P"))/3)&lt;=1)</formula>
    </cfRule>
  </conditionalFormatting>
  <conditionalFormatting sqref="MW14:NA14">
    <cfRule type="expression" dxfId="263" priority="99" stopIfTrue="1">
      <formula>AND(MW$7&lt;&gt;"",VLOOKUP(MW$8,$NX$23:$NY$30,2,0)&lt;&gt;"Yes")</formula>
    </cfRule>
    <cfRule type="expression" dxfId="262" priority="100" stopIfTrue="1">
      <formula>ISNUMBER(MATCH(DATE($B$4,$B$3+$B$5-1,MW$7),HolidayListNamedRange,0))</formula>
    </cfRule>
  </conditionalFormatting>
  <conditionalFormatting sqref="MW14:NA14">
    <cfRule type="expression" dxfId="261" priority="96">
      <formula>AND(((COUNTIF(MW11:MW13,"O")+COUNTIF(MW11:MW13,"L")+COUNTIF(MW11:MW13,"H1")+COUNTIF(MW11:MW13,"H2")+COUNTIF(MW11:MW13,"OY")+COUNTIF(MW11:MW13,"M")+COUNTIF(MW11:MW13,"V")+COUNTIF(MW11:MW13,"P"))/2)&gt;=0,((COUNTIF(MW11:MW13,"O")+COUNTIF(MW11:MW13,"L")+COUNTIF(MW11:MW13,"H1")+COUNTIF(MW11:MW13,"H2")+COUNTIF(MW11:MW13,"OY")+COUNTIF(MW11:MW13,"M")+COUNTIF(MW11:MW13,"V")+COUNTIF(MW11:MW13,"P"))/3)&lt;=0.2)</formula>
    </cfRule>
    <cfRule type="expression" dxfId="260" priority="97">
      <formula>AND(((COUNTIF(MW11:MW13,"O")+COUNTIF(MW11:MW13,"L")+COUNTIF(MW11:MW13,"H1")+COUNTIF(MW11:MW13,"H2")+COUNTIF(MW11:MW13,"OY")+COUNTIF(MW11:MW13,"M")+COUNTIF(MW11:MW13,"V")+COUNTIF(MW11:MW13,"P"))/2)&gt;=0,((COUNTIF(MW11:MW13,"O")+COUNTIF(MW11:MW13,"L")+COUNTIF(MW11:MW13,"H1")+COUNTIF(MW11:MW13,"H2")+COUNTIF(MW11:MW13,"OY")+COUNTIF(MW11:MW13,"M")+COUNTIF(MW11:MW13,"V")+COUNTIF(MW11:MW13,"P"))/3)&lt;=0.4)</formula>
    </cfRule>
    <cfRule type="expression" dxfId="259" priority="98">
      <formula>AND(((COUNTIF(MW11:MW13,"O")+COUNTIF(MW11:MW13,"L")+COUNTIF(MW11:MW13,"H1")+COUNTIF(MW11:MW13,"H2")+COUNTIF(MW11:MW13,"OY")+COUNTIF(MW11:MW13,"M")+COUNTIF(MW11:MW13,"V")+COUNTIF(MW11:MW13,"P"))/2)&gt;=0,((COUNTIF(MW11:MW13,"O")+COUNTIF(MW11:MW13,"L")+COUNTIF(MW11:MW13,"H1")+COUNTIF(MW11:MW13,"H2")+COUNTIF(MW11:MW13,"OY")+COUNTIF(MW11:MW13,"M")+COUNTIF(MW11:MW13,"V")+COUNTIF(MW11:MW13,"P"))/3)&lt;=1)</formula>
    </cfRule>
  </conditionalFormatting>
  <conditionalFormatting sqref="NE14:NH14">
    <cfRule type="expression" dxfId="258" priority="94" stopIfTrue="1">
      <formula>AND(NE$7&lt;&gt;"",VLOOKUP(NE$8,$NX$23:$NY$30,2,0)&lt;&gt;"Yes")</formula>
    </cfRule>
    <cfRule type="expression" dxfId="257" priority="95" stopIfTrue="1">
      <formula>ISNUMBER(MATCH(DATE($B$4,$B$3+$B$5-1,NE$7),HolidayListNamedRange,0))</formula>
    </cfRule>
  </conditionalFormatting>
  <conditionalFormatting sqref="NE14:NH14">
    <cfRule type="expression" dxfId="256" priority="91">
      <formula>AND(((COUNTIF(NE11:NE13,"O")+COUNTIF(NE11:NE13,"L")+COUNTIF(NE11:NE13,"H1")+COUNTIF(NE11:NE13,"H2")+COUNTIF(NE11:NE13,"OY")+COUNTIF(NE11:NE13,"M")+COUNTIF(NE11:NE13,"V")+COUNTIF(NE11:NE13,"P"))/2)&gt;=0,((COUNTIF(NE11:NE13,"O")+COUNTIF(NE11:NE13,"L")+COUNTIF(NE11:NE13,"H1")+COUNTIF(NE11:NE13,"H2")+COUNTIF(NE11:NE13,"OY")+COUNTIF(NE11:NE13,"M")+COUNTIF(NE11:NE13,"V")+COUNTIF(NE11:NE13,"P"))/3)&lt;=0.2)</formula>
    </cfRule>
    <cfRule type="expression" dxfId="255" priority="92">
      <formula>AND(((COUNTIF(NE11:NE13,"O")+COUNTIF(NE11:NE13,"L")+COUNTIF(NE11:NE13,"H1")+COUNTIF(NE11:NE13,"H2")+COUNTIF(NE11:NE13,"OY")+COUNTIF(NE11:NE13,"M")+COUNTIF(NE11:NE13,"V")+COUNTIF(NE11:NE13,"P"))/2)&gt;=0,((COUNTIF(NE11:NE13,"O")+COUNTIF(NE11:NE13,"L")+COUNTIF(NE11:NE13,"H1")+COUNTIF(NE11:NE13,"H2")+COUNTIF(NE11:NE13,"OY")+COUNTIF(NE11:NE13,"M")+COUNTIF(NE11:NE13,"V")+COUNTIF(NE11:NE13,"P"))/3)&lt;=0.4)</formula>
    </cfRule>
    <cfRule type="expression" dxfId="254" priority="93">
      <formula>AND(((COUNTIF(NE11:NE13,"O")+COUNTIF(NE11:NE13,"L")+COUNTIF(NE11:NE13,"H1")+COUNTIF(NE11:NE13,"H2")+COUNTIF(NE11:NE13,"OY")+COUNTIF(NE11:NE13,"M")+COUNTIF(NE11:NE13,"V")+COUNTIF(NE11:NE13,"P"))/2)&gt;=0,((COUNTIF(NE11:NE13,"O")+COUNTIF(NE11:NE13,"L")+COUNTIF(NE11:NE13,"H1")+COUNTIF(NE11:NE13,"H2")+COUNTIF(NE11:NE13,"OY")+COUNTIF(NE11:NE13,"M")+COUNTIF(NE11:NE13,"V")+COUNTIF(NE11:NE13,"P"))/3)&lt;=1)</formula>
    </cfRule>
  </conditionalFormatting>
  <conditionalFormatting sqref="ME24:MF24">
    <cfRule type="expression" dxfId="253" priority="64" stopIfTrue="1">
      <formula>AND(ME$7&lt;&gt;"",VLOOKUP(ME$8,$NX$23:$NY$30,2,0)&lt;&gt;"Yes")</formula>
    </cfRule>
    <cfRule type="expression" dxfId="252" priority="65" stopIfTrue="1">
      <formula>ISNUMBER(MATCH(DATE($B$4,$B$3+$B$5-1,ME$7),HolidayListNamedRange,0))</formula>
    </cfRule>
  </conditionalFormatting>
  <conditionalFormatting sqref="ME24:MF24">
    <cfRule type="expression" dxfId="251" priority="61">
      <formula>AND(((COUNTIF(ME15:ME23,"O")+COUNTIF(ME15:ME23,"L")+COUNTIF(ME15:ME23,"H1")+COUNTIF(ME15:ME23,"H2")+COUNTIF(ME15:ME23,"OY")+COUNTIF(ME15:ME23,"M")+COUNTIF(ME15:ME23,"V")+COUNTIF(ME15:ME23,"P"))/2)&gt;=0,((COUNTIF(ME15:ME23,"O")+COUNTIF(ME15:ME23,"L")+COUNTIF(ME15:ME23,"H1")+COUNTIF(ME15:ME23,"H2")+COUNTIF(ME15:ME23,"OY")+COUNTIF(ME15:ME23,"M")+COUNTIF(ME15:ME23,"V")+COUNTIF(ME15:ME23,"P"))/9)&lt;=0.2)</formula>
    </cfRule>
    <cfRule type="expression" dxfId="250" priority="62">
      <formula>AND(((COUNTIF(ME15:ME23,"O")+COUNTIF(ME15:ME23,"L")+COUNTIF(ME15:ME23,"H1")+COUNTIF(ME15:ME23,"H2")+COUNTIF(ME15:ME23,"OY")+COUNTIF(ME15:ME23,"M")+COUNTIF(ME15:ME23,"V")+COUNTIF(ME15:ME23,"P"))/2)&gt;=0,((COUNTIF(ME15:ME23,"O")+COUNTIF(ME15:ME23,"L")+COUNTIF(ME15:ME23,"H1")+COUNTIF(ME15:ME23,"H2")+COUNTIF(ME15:ME23,"OY")+COUNTIF(ME15:ME23,"M")+COUNTIF(ME15:ME23,"V")+COUNTIF(ME15:ME23,"P"))/9)&lt;=0.4)</formula>
    </cfRule>
    <cfRule type="expression" dxfId="249" priority="63">
      <formula>AND(((COUNTIF(ME15:ME23,"O")+COUNTIF(ME15:ME23,"L")+COUNTIF(ME15:ME23,"H1")+COUNTIF(ME15:ME23,"H2")+COUNTIF(ME15:ME23,"OY")+COUNTIF(ME15:ME23,"M")+COUNTIF(ME15:ME23,"V")+COUNTIF(ME15:ME23,"P"))/2)&gt;=0,((COUNTIF(ME15:ME23,"O")+COUNTIF(ME15:ME23,"L")+COUNTIF(ME15:ME23,"H1")+COUNTIF(ME15:ME23,"H2")+COUNTIF(ME15:ME23,"OY")+COUNTIF(ME15:ME23,"M")+COUNTIF(ME15:ME23,"V")+COUNTIF(ME15:ME23,"P"))/9)&lt;=1)</formula>
    </cfRule>
  </conditionalFormatting>
  <conditionalFormatting sqref="MI24:MM24">
    <cfRule type="expression" dxfId="248" priority="59" stopIfTrue="1">
      <formula>AND(MI$7&lt;&gt;"",VLOOKUP(MI$8,$NX$23:$NY$30,2,0)&lt;&gt;"Yes")</formula>
    </cfRule>
    <cfRule type="expression" dxfId="247" priority="60" stopIfTrue="1">
      <formula>ISNUMBER(MATCH(DATE($B$4,$B$3+$B$5-1,MI$7),HolidayListNamedRange,0))</formula>
    </cfRule>
  </conditionalFormatting>
  <conditionalFormatting sqref="MI24:MM24">
    <cfRule type="expression" dxfId="246" priority="56">
      <formula>AND(((COUNTIF(MI15:MI23,"O")+COUNTIF(MI15:MI23,"L")+COUNTIF(MI15:MI23,"H1")+COUNTIF(MI15:MI23,"H2")+COUNTIF(MI15:MI23,"OY")+COUNTIF(MI15:MI23,"M")+COUNTIF(MI15:MI23,"V")+COUNTIF(MI15:MI23,"P"))/2)&gt;=0,((COUNTIF(MI15:MI23,"O")+COUNTIF(MI15:MI23,"L")+COUNTIF(MI15:MI23,"H1")+COUNTIF(MI15:MI23,"H2")+COUNTIF(MI15:MI23,"OY")+COUNTIF(MI15:MI23,"M")+COUNTIF(MI15:MI23,"V")+COUNTIF(MI15:MI23,"P"))/9)&lt;=0.2)</formula>
    </cfRule>
    <cfRule type="expression" dxfId="245" priority="57">
      <formula>AND(((COUNTIF(MI15:MI23,"O")+COUNTIF(MI15:MI23,"L")+COUNTIF(MI15:MI23,"H1")+COUNTIF(MI15:MI23,"H2")+COUNTIF(MI15:MI23,"OY")+COUNTIF(MI15:MI23,"M")+COUNTIF(MI15:MI23,"V")+COUNTIF(MI15:MI23,"P"))/2)&gt;=0,((COUNTIF(MI15:MI23,"O")+COUNTIF(MI15:MI23,"L")+COUNTIF(MI15:MI23,"H1")+COUNTIF(MI15:MI23,"H2")+COUNTIF(MI15:MI23,"OY")+COUNTIF(MI15:MI23,"M")+COUNTIF(MI15:MI23,"V")+COUNTIF(MI15:MI23,"P"))/9)&lt;=0.4)</formula>
    </cfRule>
    <cfRule type="expression" dxfId="244" priority="58">
      <formula>AND(((COUNTIF(MI15:MI23,"O")+COUNTIF(MI15:MI23,"L")+COUNTIF(MI15:MI23,"H1")+COUNTIF(MI15:MI23,"H2")+COUNTIF(MI15:MI23,"OY")+COUNTIF(MI15:MI23,"M")+COUNTIF(MI15:MI23,"V")+COUNTIF(MI15:MI23,"P"))/2)&gt;=0,((COUNTIF(MI15:MI23,"O")+COUNTIF(MI15:MI23,"L")+COUNTIF(MI15:MI23,"H1")+COUNTIF(MI15:MI23,"H2")+COUNTIF(MI15:MI23,"OY")+COUNTIF(MI15:MI23,"M")+COUNTIF(MI15:MI23,"V")+COUNTIF(MI15:MI23,"P"))/9)&lt;=1)</formula>
    </cfRule>
  </conditionalFormatting>
  <conditionalFormatting sqref="MP24:MT24">
    <cfRule type="expression" dxfId="243" priority="54" stopIfTrue="1">
      <formula>AND(MP$7&lt;&gt;"",VLOOKUP(MP$8,$NX$23:$NY$30,2,0)&lt;&gt;"Yes")</formula>
    </cfRule>
    <cfRule type="expression" dxfId="242" priority="55" stopIfTrue="1">
      <formula>ISNUMBER(MATCH(DATE($B$4,$B$3+$B$5-1,MP$7),HolidayListNamedRange,0))</formula>
    </cfRule>
  </conditionalFormatting>
  <conditionalFormatting sqref="MP24:MT24">
    <cfRule type="expression" dxfId="241" priority="51">
      <formula>AND(((COUNTIF(MP15:MP23,"O")+COUNTIF(MP15:MP23,"L")+COUNTIF(MP15:MP23,"H1")+COUNTIF(MP15:MP23,"H2")+COUNTIF(MP15:MP23,"OY")+COUNTIF(MP15:MP23,"M")+COUNTIF(MP15:MP23,"V")+COUNTIF(MP15:MP23,"P"))/2)&gt;=0,((COUNTIF(MP15:MP23,"O")+COUNTIF(MP15:MP23,"L")+COUNTIF(MP15:MP23,"H1")+COUNTIF(MP15:MP23,"H2")+COUNTIF(MP15:MP23,"OY")+COUNTIF(MP15:MP23,"M")+COUNTIF(MP15:MP23,"V")+COUNTIF(MP15:MP23,"P"))/9)&lt;=0.2)</formula>
    </cfRule>
    <cfRule type="expression" dxfId="240" priority="52">
      <formula>AND(((COUNTIF(MP15:MP23,"O")+COUNTIF(MP15:MP23,"L")+COUNTIF(MP15:MP23,"H1")+COUNTIF(MP15:MP23,"H2")+COUNTIF(MP15:MP23,"OY")+COUNTIF(MP15:MP23,"M")+COUNTIF(MP15:MP23,"V")+COUNTIF(MP15:MP23,"P"))/2)&gt;=0,((COUNTIF(MP15:MP23,"O")+COUNTIF(MP15:MP23,"L")+COUNTIF(MP15:MP23,"H1")+COUNTIF(MP15:MP23,"H2")+COUNTIF(MP15:MP23,"OY")+COUNTIF(MP15:MP23,"M")+COUNTIF(MP15:MP23,"V")+COUNTIF(MP15:MP23,"P"))/9)&lt;=0.4)</formula>
    </cfRule>
    <cfRule type="expression" dxfId="239" priority="53">
      <formula>AND(((COUNTIF(MP15:MP23,"O")+COUNTIF(MP15:MP23,"L")+COUNTIF(MP15:MP23,"H1")+COUNTIF(MP15:MP23,"H2")+COUNTIF(MP15:MP23,"OY")+COUNTIF(MP15:MP23,"M")+COUNTIF(MP15:MP23,"V")+COUNTIF(MP15:MP23,"P"))/2)&gt;=0,((COUNTIF(MP15:MP23,"O")+COUNTIF(MP15:MP23,"L")+COUNTIF(MP15:MP23,"H1")+COUNTIF(MP15:MP23,"H2")+COUNTIF(MP15:MP23,"OY")+COUNTIF(MP15:MP23,"M")+COUNTIF(MP15:MP23,"V")+COUNTIF(MP15:MP23,"P"))/9)&lt;=1)</formula>
    </cfRule>
  </conditionalFormatting>
  <conditionalFormatting sqref="MW24:NA24">
    <cfRule type="expression" dxfId="238" priority="49" stopIfTrue="1">
      <formula>AND(MW$7&lt;&gt;"",VLOOKUP(MW$8,$NX$23:$NY$30,2,0)&lt;&gt;"Yes")</formula>
    </cfRule>
    <cfRule type="expression" dxfId="237" priority="50" stopIfTrue="1">
      <formula>ISNUMBER(MATCH(DATE($B$4,$B$3+$B$5-1,MW$7),HolidayListNamedRange,0))</formula>
    </cfRule>
  </conditionalFormatting>
  <conditionalFormatting sqref="MW24:NA24">
    <cfRule type="expression" dxfId="236" priority="46">
      <formula>AND(((COUNTIF(MW15:MW23,"O")+COUNTIF(MW15:MW23,"L")+COUNTIF(MW15:MW23,"H1")+COUNTIF(MW15:MW23,"H2")+COUNTIF(MW15:MW23,"OY")+COUNTIF(MW15:MW23,"M")+COUNTIF(MW15:MW23,"V")+COUNTIF(MW15:MW23,"P"))/2)&gt;=0,((COUNTIF(MW15:MW23,"O")+COUNTIF(MW15:MW23,"L")+COUNTIF(MW15:MW23,"H1")+COUNTIF(MW15:MW23,"H2")+COUNTIF(MW15:MW23,"OY")+COUNTIF(MW15:MW23,"M")+COUNTIF(MW15:MW23,"V")+COUNTIF(MW15:MW23,"P"))/9)&lt;=0.2)</formula>
    </cfRule>
    <cfRule type="expression" dxfId="235" priority="47">
      <formula>AND(((COUNTIF(MW15:MW23,"O")+COUNTIF(MW15:MW23,"L")+COUNTIF(MW15:MW23,"H1")+COUNTIF(MW15:MW23,"H2")+COUNTIF(MW15:MW23,"OY")+COUNTIF(MW15:MW23,"M")+COUNTIF(MW15:MW23,"V")+COUNTIF(MW15:MW23,"P"))/2)&gt;=0,((COUNTIF(MW15:MW23,"O")+COUNTIF(MW15:MW23,"L")+COUNTIF(MW15:MW23,"H1")+COUNTIF(MW15:MW23,"H2")+COUNTIF(MW15:MW23,"OY")+COUNTIF(MW15:MW23,"M")+COUNTIF(MW15:MW23,"V")+COUNTIF(MW15:MW23,"P"))/9)&lt;=0.4)</formula>
    </cfRule>
    <cfRule type="expression" dxfId="234" priority="48">
      <formula>AND(((COUNTIF(MW15:MW23,"O")+COUNTIF(MW15:MW23,"L")+COUNTIF(MW15:MW23,"H1")+COUNTIF(MW15:MW23,"H2")+COUNTIF(MW15:MW23,"OY")+COUNTIF(MW15:MW23,"M")+COUNTIF(MW15:MW23,"V")+COUNTIF(MW15:MW23,"P"))/2)&gt;=0,((COUNTIF(MW15:MW23,"O")+COUNTIF(MW15:MW23,"L")+COUNTIF(MW15:MW23,"H1")+COUNTIF(MW15:MW23,"H2")+COUNTIF(MW15:MW23,"OY")+COUNTIF(MW15:MW23,"M")+COUNTIF(MW15:MW23,"V")+COUNTIF(MW15:MW23,"P"))/9)&lt;=1)</formula>
    </cfRule>
  </conditionalFormatting>
  <conditionalFormatting sqref="NE24:NH24">
    <cfRule type="expression" dxfId="233" priority="44" stopIfTrue="1">
      <formula>AND(NE$7&lt;&gt;"",VLOOKUP(NE$8,$NX$23:$NY$30,2,0)&lt;&gt;"Yes")</formula>
    </cfRule>
    <cfRule type="expression" dxfId="232" priority="45" stopIfTrue="1">
      <formula>ISNUMBER(MATCH(DATE($B$4,$B$3+$B$5-1,NE$7),HolidayListNamedRange,0))</formula>
    </cfRule>
  </conditionalFormatting>
  <conditionalFormatting sqref="NE24:NH24">
    <cfRule type="expression" dxfId="231" priority="41">
      <formula>AND(((COUNTIF(NE15:NE23,"O")+COUNTIF(NE15:NE23,"L")+COUNTIF(NE15:NE23,"H1")+COUNTIF(NE15:NE23,"H2")+COUNTIF(NE15:NE23,"OY")+COUNTIF(NE15:NE23,"M")+COUNTIF(NE15:NE23,"V")+COUNTIF(NE15:NE23,"P"))/2)&gt;=0,((COUNTIF(NE15:NE23,"O")+COUNTIF(NE15:NE23,"L")+COUNTIF(NE15:NE23,"H1")+COUNTIF(NE15:NE23,"H2")+COUNTIF(NE15:NE23,"OY")+COUNTIF(NE15:NE23,"M")+COUNTIF(NE15:NE23,"V")+COUNTIF(NE15:NE23,"P"))/9)&lt;=0.2)</formula>
    </cfRule>
    <cfRule type="expression" dxfId="230" priority="42">
      <formula>AND(((COUNTIF(NE15:NE23,"O")+COUNTIF(NE15:NE23,"L")+COUNTIF(NE15:NE23,"H1")+COUNTIF(NE15:NE23,"H2")+COUNTIF(NE15:NE23,"OY")+COUNTIF(NE15:NE23,"M")+COUNTIF(NE15:NE23,"V")+COUNTIF(NE15:NE23,"P"))/2)&gt;=0,((COUNTIF(NE15:NE23,"O")+COUNTIF(NE15:NE23,"L")+COUNTIF(NE15:NE23,"H1")+COUNTIF(NE15:NE23,"H2")+COUNTIF(NE15:NE23,"OY")+COUNTIF(NE15:NE23,"M")+COUNTIF(NE15:NE23,"V")+COUNTIF(NE15:NE23,"P"))/9)&lt;=0.4)</formula>
    </cfRule>
    <cfRule type="expression" dxfId="229" priority="43">
      <formula>AND(((COUNTIF(NE15:NE23,"O")+COUNTIF(NE15:NE23,"L")+COUNTIF(NE15:NE23,"H1")+COUNTIF(NE15:NE23,"H2")+COUNTIF(NE15:NE23,"OY")+COUNTIF(NE15:NE23,"M")+COUNTIF(NE15:NE23,"V")+COUNTIF(NE15:NE23,"P"))/2)&gt;=0,((COUNTIF(NE15:NE23,"O")+COUNTIF(NE15:NE23,"L")+COUNTIF(NE15:NE23,"H1")+COUNTIF(NE15:NE23,"H2")+COUNTIF(NE15:NE23,"OY")+COUNTIF(NE15:NE23,"M")+COUNTIF(NE15:NE23,"V")+COUNTIF(NE15:NE23,"P"))/9)&lt;=1)</formula>
    </cfRule>
  </conditionalFormatting>
  <conditionalFormatting sqref="ME40">
    <cfRule type="expression" dxfId="228" priority="39" stopIfTrue="1">
      <formula>AND(ME$7&lt;&gt;"",VLOOKUP(ME$8,$NX$23:$NY$30,2,0)&lt;&gt;"Yes")</formula>
    </cfRule>
    <cfRule type="expression" dxfId="227" priority="40" stopIfTrue="1">
      <formula>ISNUMBER(MATCH(DATE($B$4,$B$3+$B$5-1,ME$7),HolidayListNamedRange,0))</formula>
    </cfRule>
  </conditionalFormatting>
  <conditionalFormatting sqref="ME40">
    <cfRule type="expression" dxfId="226" priority="36">
      <formula>AND(((COUNTIF(ME25:ME39,"O")+COUNTIF(ME31:ME39,"L")+COUNTIF(ME31:ME39,"H1")+COUNTIF(ME31:ME39,"H2")+COUNTIF(ME31:ME39,"OY")+COUNTIF(ME31:ME39,"M")+COUNTIF(ME31:ME39,"V")+COUNTIF(ME31:ME39,"P"))/2)&gt;=0,((COUNTIF(ME31:ME39,"O")+COUNTIF(ME31:ME39,"L")+COUNTIF(ME31:ME39,"H1")+COUNTIF(ME31:ME39,"H2")+COUNTIF(ME31:ME39,"OY")+COUNTIF(ME31:ME39,"M")+COUNTIF(ME31:ME39,"V")+COUNTIF(ME31:ME39,"P"))/9)&lt;=0.2)</formula>
    </cfRule>
    <cfRule type="expression" dxfId="225" priority="37">
      <formula>AND(((COUNTIF(ME31:ME39,"O")+COUNTIF(ME31:ME39,"L")+COUNTIF(ME31:ME39,"H1")+COUNTIF(ME31:ME39,"H2")+COUNTIF(ME31:ME39,"OY")+COUNTIF(ME31:ME39,"M")+COUNTIF(ME31:ME39,"V")+COUNTIF(ME31:ME39,"P"))/2)&gt;=0,((COUNTIF(ME31:ME39,"O")+COUNTIF(ME31:ME39,"L")+COUNTIF(ME31:ME39,"H1")+COUNTIF(ME31:ME39,"H2")+COUNTIF(ME31:ME39,"OY")+COUNTIF(ME31:ME39,"M")+COUNTIF(ME31:ME39,"V")+COUNTIF(ME31:ME39,"P"))/9)&lt;=0.4)</formula>
    </cfRule>
    <cfRule type="expression" dxfId="224" priority="38">
      <formula>AND(((COUNTIF(ME31:ME39,"O")+COUNTIF(ME31:ME39,"L")+COUNTIF(ME31:ME39,"H1")+COUNTIF(ME31:ME39,"H2")+COUNTIF(ME31:ME39,"OY")+COUNTIF(ME31:ME39,"M")+COUNTIF(ME31:ME39,"V")+COUNTIF(ME31:ME39,"P"))/2)&gt;=0,((COUNTIF(ME31:ME39,"O")+COUNTIF(ME31:ME39,"L")+COUNTIF(ME31:ME39,"H1")+COUNTIF(ME31:ME39,"H2")+COUNTIF(ME31:ME39,"OY")+COUNTIF(ME31:ME39,"M")+COUNTIF(ME31:ME39,"V")+COUNTIF(ME31:ME39,"P"))/9)&lt;=1)</formula>
    </cfRule>
  </conditionalFormatting>
  <conditionalFormatting sqref="ME14:MF14">
    <cfRule type="expression" dxfId="223" priority="24" stopIfTrue="1">
      <formula>AND(ME$7&lt;&gt;"",VLOOKUP(ME$8,$NX$23:$NY$30,2,0)&lt;&gt;"Yes")</formula>
    </cfRule>
    <cfRule type="expression" dxfId="222" priority="25" stopIfTrue="1">
      <formula>ISNUMBER(MATCH(DATE($B$4,$B$3+$B$5-1,ME$7),HolidayListNamedRange,0))</formula>
    </cfRule>
  </conditionalFormatting>
  <conditionalFormatting sqref="MI14:MM14">
    <cfRule type="expression" dxfId="221" priority="29" stopIfTrue="1">
      <formula>AND(MI$7&lt;&gt;"",VLOOKUP(MI$8,$NX$23:$NY$30,2,0)&lt;&gt;"Yes")</formula>
    </cfRule>
    <cfRule type="expression" dxfId="220" priority="30" stopIfTrue="1">
      <formula>ISNUMBER(MATCH(DATE($B$4,$B$3+$B$5-1,MI$7),HolidayListNamedRange,0))</formula>
    </cfRule>
  </conditionalFormatting>
  <conditionalFormatting sqref="MI14:MM14">
    <cfRule type="expression" dxfId="219" priority="26">
      <formula>AND(((COUNTIF(MI11:MI13,"O")+COUNTIF(MI11:MI13,"L")+COUNTIF(MI11:MI13,"H1")+COUNTIF(MI11:MI13,"H2")+COUNTIF(MI11:MI13,"OY")+COUNTIF(MI11:MI13,"M")+COUNTIF(MI11:MI13,"V")+COUNTIF(MI11:MI13,"P"))/2)&gt;=0,((COUNTIF(MI11:MI13,"O")+COUNTIF(MI11:MI13,"L")+COUNTIF(MI11:MI13,"H1")+COUNTIF(MI11:MI13,"H2")+COUNTIF(MI11:MI13,"OY")+COUNTIF(MI11:MI13,"M")+COUNTIF(MI11:MI13,"V")+COUNTIF(MI11:MI13,"P"))/3)&lt;=0.2)</formula>
    </cfRule>
    <cfRule type="expression" dxfId="218" priority="27">
      <formula>AND(((COUNTIF(MI11:MI13,"O")+COUNTIF(MI11:MI13,"L")+COUNTIF(MI11:MI13,"H1")+COUNTIF(MI11:MI13,"H2")+COUNTIF(MI11:MI13,"OY")+COUNTIF(MI11:MI13,"M")+COUNTIF(MI11:MI13,"V")+COUNTIF(MI11:MI13,"P"))/2)&gt;=0,((COUNTIF(MI11:MI13,"O")+COUNTIF(MI11:MI13,"L")+COUNTIF(MI11:MI13,"H1")+COUNTIF(MI11:MI13,"H2")+COUNTIF(MI11:MI13,"OY")+COUNTIF(MI11:MI13,"M")+COUNTIF(MI11:MI13,"V")+COUNTIF(MI11:MI13,"P"))/3)&lt;=0.4)</formula>
    </cfRule>
    <cfRule type="expression" dxfId="217" priority="28">
      <formula>AND(((COUNTIF(MI11:MI13,"O")+COUNTIF(MI11:MI13,"L")+COUNTIF(MI11:MI13,"H1")+COUNTIF(MI11:MI13,"H2")+COUNTIF(MI11:MI13,"OY")+COUNTIF(MI11:MI13,"M")+COUNTIF(MI11:MI13,"V")+COUNTIF(MI11:MI13,"P"))/2)&gt;=0,((COUNTIF(MI11:MI13,"O")+COUNTIF(MI11:MI13,"L")+COUNTIF(MI11:MI13,"H1")+COUNTIF(MI11:MI13,"H2")+COUNTIF(MI11:MI13,"OY")+COUNTIF(MI11:MI13,"M")+COUNTIF(MI11:MI13,"V")+COUNTIF(MI11:MI13,"P"))/3)&lt;=1)</formula>
    </cfRule>
  </conditionalFormatting>
  <conditionalFormatting sqref="ME14:MF14">
    <cfRule type="expression" dxfId="216" priority="21">
      <formula>AND(((COUNTIF(ME11:ME13,"O")+COUNTIF(ME11:ME13,"L")+COUNTIF(ME11:ME13,"H1")+COUNTIF(ME11:ME13,"H2")+COUNTIF(ME11:ME13,"OY")+COUNTIF(ME11:ME13,"M")+COUNTIF(ME11:ME13,"V")+COUNTIF(ME11:ME13,"P"))/2)&gt;=0,((COUNTIF(ME11:ME13,"O")+COUNTIF(ME11:ME13,"L")+COUNTIF(ME11:ME13,"H1")+COUNTIF(ME11:ME13,"H2")+COUNTIF(ME11:ME13,"OY")+COUNTIF(ME11:ME13,"M")+COUNTIF(ME11:ME13,"V")+COUNTIF(ME11:ME13,"P"))/3)&lt;=0.2)</formula>
    </cfRule>
    <cfRule type="expression" dxfId="215" priority="22">
      <formula>AND(((COUNTIF(ME11:ME13,"O")+COUNTIF(ME11:ME13,"L")+COUNTIF(ME11:ME13,"H1")+COUNTIF(ME11:ME13,"H2")+COUNTIF(ME11:ME13,"OY")+COUNTIF(ME11:ME13,"M")+COUNTIF(ME11:ME13,"V")+COUNTIF(ME11:ME13,"P"))/2)&gt;=0,((COUNTIF(ME11:ME13,"O")+COUNTIF(ME11:ME13,"L")+COUNTIF(ME11:ME13,"H1")+COUNTIF(ME11:ME13,"H2")+COUNTIF(ME11:ME13,"OY")+COUNTIF(ME11:ME13,"M")+COUNTIF(ME11:ME13,"V")+COUNTIF(ME11:ME13,"P"))/3)&lt;=0.4)</formula>
    </cfRule>
    <cfRule type="expression" dxfId="214" priority="23">
      <formula>AND(((COUNTIF(ME11:ME13,"O")+COUNTIF(ME11:ME13,"L")+COUNTIF(ME11:ME13,"H1")+COUNTIF(ME11:ME13,"H2")+COUNTIF(ME11:ME13,"OY")+COUNTIF(ME11:ME13,"M")+COUNTIF(ME11:ME13,"V")+COUNTIF(ME11:ME13,"P"))/2)&gt;=0,((COUNTIF(ME11:ME13,"O")+COUNTIF(ME11:ME13,"L")+COUNTIF(ME11:ME13,"H1")+COUNTIF(ME11:ME13,"H2")+COUNTIF(ME11:ME13,"OY")+COUNTIF(ME11:ME13,"M")+COUNTIF(ME11:ME13,"V")+COUNTIF(ME11:ME13,"P"))/3)&lt;=1)</formula>
    </cfRule>
  </conditionalFormatting>
  <conditionalFormatting sqref="ME43:MF43 MI43:MM43 MP43:MT43 MW43:NA43 NE43:NH43">
    <cfRule type="expression" dxfId="213" priority="2701">
      <formula>AND(((COUNTIF(#REF!,"O")+COUNTIF(#REF!,"L")+COUNTIF(#REF!,"H1")+COUNTIF(#REF!,"H2")+COUNTIF(#REF!,"OY")+COUNTIF(#REF!,"M")+COUNTIF(#REF!,"V")+COUNTIF(#REF!,"P"))/13)&gt;=0,((COUNTIF(#REF!,"O")+COUNTIF(#REF!,"L")+COUNTIF(#REF!,"H1")+COUNTIF(#REF!,"H2")+COUNTIF(#REF!,"OY")+COUNTIF(#REF!,"M")+COUNTIF(#REF!,"V")+COUNTIF(#REF!,"P"))/13)&lt;=0.2)</formula>
    </cfRule>
    <cfRule type="expression" dxfId="212" priority="2702">
      <formula>AND(((COUNTIF(#REF!,"O")+COUNTIF(#REF!,"L")+COUNTIF(#REF!,"H1")+COUNTIF(#REF!,"H2")+COUNTIF(#REF!,"OY")+COUNTIF(#REF!,"M")+COUNTIF(#REF!,"V")+COUNTIF(#REF!,"P"))/13)&gt;0.2,((COUNTIF(#REF!,"O")+COUNTIF(#REF!,"L")+COUNTIF(#REF!,"H1")+COUNTIF(#REF!,"H2")+COUNTIF(#REF!,"OY")+COUNTIF(#REF!,"M")+COUNTIF(#REF!,"V")+COUNTIF(#REF!,"P"))/13)&lt;=0.4)</formula>
    </cfRule>
    <cfRule type="expression" dxfId="211" priority="2703">
      <formula>AND(((COUNTIF(#REF!,"O")+COUNTIF(#REF!,"L")+COUNTIF(#REF!,"H1")+COUNTIF(#REF!,"H2")+COUNTIF(#REF!,"OY")+COUNTIF(#REF!,"M")+COUNTIF(#REF!,"V")+COUNTIF(#REF!,"P"))/13)&gt;=0.4,((COUNTIF(#REF!,"O")+COUNTIF(#REF!,"L")+COUNTIF(#REF!,"H1")+COUNTIF(#REF!,"H2")+COUNTIF(#REF!,"OY")+COUNTIF(#REF!,"M")+COUNTIF(#REF!,"V")+COUNTIF(#REF!,"P"))/13)&lt;=1)</formula>
    </cfRule>
  </conditionalFormatting>
  <conditionalFormatting sqref="MP45:MT45 MW45:NA45 NE45:NH45 ME45:MF45 MI45:MM45">
    <cfRule type="expression" dxfId="210" priority="3088">
      <formula>AND(((COUNTIF(ME43:ME44,"O")+COUNTIF(ME43:ME44,"L")+COUNTIF(ME43:ME44,"H1")+COUNTIF(ME43:ME44,"H2")+COUNTIF(ME43:ME44,"OY")+COUNTIF(ME43:ME44,"M")+COUNTIF(ME43:ME44,"V")+COUNTIF(ME43:ME44,"P"))/13)&gt;=0,((COUNTIF(ME43:ME44,"O")+COUNTIF(ME43:ME44,"L")+COUNTIF(ME43:ME44,"H1")+COUNTIF(ME43:ME44,"H2")+COUNTIF(ME43:ME44,"OY")+COUNTIF(ME43:ME44,"M")+COUNTIF(ME43:ME44,"V")+COUNTIF(ME43:ME44,"P"))/13)&lt;=0.2)</formula>
    </cfRule>
    <cfRule type="expression" dxfId="209" priority="3089">
      <formula>AND(((COUNTIF(ME43:ME44,"O")+COUNTIF(ME43:ME44,"L")+COUNTIF(ME43:ME44,"H1")+COUNTIF(ME43:ME44,"H2")+COUNTIF(ME43:ME44,"OY")+COUNTIF(ME43:ME44,"M")+COUNTIF(ME43:ME44,"V")+COUNTIF(ME43:ME44,"P"))/13)&gt;0.2,((COUNTIF(ME43:ME44,"O")+COUNTIF(ME43:ME44,"L")+COUNTIF(ME43:ME44,"H1")+COUNTIF(ME43:ME44,"H2")+COUNTIF(ME43:ME44,"OY")+COUNTIF(ME43:ME44,"M")+COUNTIF(ME43:ME44,"V")+COUNTIF(ME43:ME44,"P"))/13)&lt;=0.4)</formula>
    </cfRule>
    <cfRule type="expression" dxfId="208" priority="3090">
      <formula>AND(((COUNTIF(ME43:ME44,"O")+COUNTIF(ME43:ME44,"L")+COUNTIF(ME43:ME44,"H1")+COUNTIF(ME43:ME44,"H2")+COUNTIF(ME43:ME44,"OY")+COUNTIF(ME43:ME44,"M")+COUNTIF(ME43:ME44,"V")+COUNTIF(ME43:ME44,"P"))/13)&gt;=0.4,((COUNTIF(ME43:ME44,"O")+COUNTIF(ME43:ME44,"L")+COUNTIF(ME43:ME44,"H1")+COUNTIF(ME43:ME44,"H2")+COUNTIF(ME43:ME44,"OY")+COUNTIF(ME43:ME44,"M")+COUNTIF(ME43:ME44,"V")+COUNTIF(ME43:ME44,"P"))/13)&lt;=1)</formula>
    </cfRule>
  </conditionalFormatting>
  <conditionalFormatting sqref="MP39:MT39">
    <cfRule type="expression" dxfId="207" priority="16" stopIfTrue="1">
      <formula>AND(MP$7&lt;&gt;"",VLOOKUP(MP$8,$NX$23:$NY$30,2,0)&lt;&gt;"Yes")</formula>
    </cfRule>
    <cfRule type="expression" dxfId="206" priority="17" stopIfTrue="1">
      <formula>ISNUMBER(MATCH(DATE($B$4,$B$3+$B$5-1,MP$7),HolidayListNamedRange,0))</formula>
    </cfRule>
  </conditionalFormatting>
  <conditionalFormatting sqref="MP39:MT39">
    <cfRule type="expression" dxfId="205" priority="18">
      <formula>AND(((COUNTIF(MP26:MP38,"O")+COUNTIF(MP26:MP38,"L")+COUNTIF(MP26:MP38,"H1")+COUNTIF(MP26:MP38,"H2")+COUNTIF(MP26:MP38,"OY")+COUNTIF(MP26:MP38,"M")+COUNTIF(MP26:MP38,"V")+COUNTIF(MP26:MP38,"P"))/13)&gt;=0,((COUNTIF(MP26:MP38,"O")+COUNTIF(MP26:MP38,"L")+COUNTIF(MP26:MP38,"H1")+COUNTIF(MP26:MP38,"H2")+COUNTIF(MP26:MP38,"OY")+COUNTIF(MP26:MP38,"M")+COUNTIF(MP26:MP38,"V")+COUNTIF(MP26:MP38,"P"))/13)&lt;=0.2)</formula>
    </cfRule>
    <cfRule type="expression" dxfId="204" priority="19">
      <formula>AND(((COUNTIF(MP26:MP38,"O")+COUNTIF(MP26:MP38,"L")+COUNTIF(MP26:MP38,"H1")+COUNTIF(MP26:MP38,"H2")+COUNTIF(MP26:MP38,"OY")+COUNTIF(MP26:MP38,"M")+COUNTIF(MP26:MP38,"V")+COUNTIF(MP26:MP38,"P"))/13)&gt;0.2,((COUNTIF(MP26:MP38,"O")+COUNTIF(MP26:MP38,"L")+COUNTIF(MP26:MP38,"H1")+COUNTIF(MP26:MP38,"H2")+COUNTIF(MP26:MP38,"OY")+COUNTIF(MP26:MP38,"M")+COUNTIF(MP26:MP38,"V")+COUNTIF(MP26:MP38,"P"))/13)&lt;=0.4)</formula>
    </cfRule>
    <cfRule type="expression" dxfId="203" priority="20">
      <formula>AND(((COUNTIF(MP26:MP38,"O")+COUNTIF(MP26:MP38,"L")+COUNTIF(MP26:MP38,"H1")+COUNTIF(MP26:MP38,"H2")+COUNTIF(MP26:MP38,"OY")+COUNTIF(MP26:MP38,"M")+COUNTIF(MP26:MP38,"V")+COUNTIF(MP26:MP38,"P"))/13)&gt;=0.4,((COUNTIF(MP26:MP38,"O")+COUNTIF(MP26:MP38,"L")+COUNTIF(MP26:MP38,"H1")+COUNTIF(MP26:MP38,"H2")+COUNTIF(MP26:MP38,"OY")+COUNTIF(MP26:MP38,"M")+COUNTIF(MP26:MP38,"V")+COUNTIF(MP26:MP38,"P"))/13)&lt;=1)</formula>
    </cfRule>
  </conditionalFormatting>
  <conditionalFormatting sqref="MI39:MM39">
    <cfRule type="expression" dxfId="202" priority="11" stopIfTrue="1">
      <formula>AND(MI$7&lt;&gt;"",VLOOKUP(MI$8,$NX$23:$NY$30,2,0)&lt;&gt;"Yes")</formula>
    </cfRule>
    <cfRule type="expression" dxfId="201" priority="12" stopIfTrue="1">
      <formula>ISNUMBER(MATCH(DATE($B$4,$B$3+$B$5-1,MI$7),HolidayListNamedRange,0))</formula>
    </cfRule>
  </conditionalFormatting>
  <conditionalFormatting sqref="MI39:MM39">
    <cfRule type="expression" dxfId="200" priority="13">
      <formula>AND(((COUNTIF(MI26:MI38,"O")+COUNTIF(MI26:MI38,"L")+COUNTIF(MI26:MI38,"H1")+COUNTIF(MI26:MI38,"H2")+COUNTIF(MI26:MI38,"OY")+COUNTIF(MI26:MI38,"M")+COUNTIF(MI26:MI38,"V")+COUNTIF(MI26:MI38,"P"))/13)&gt;=0,((COUNTIF(MI26:MI38,"O")+COUNTIF(MI26:MI38,"L")+COUNTIF(MI26:MI38,"H1")+COUNTIF(MI26:MI38,"H2")+COUNTIF(MI26:MI38,"OY")+COUNTIF(MI26:MI38,"M")+COUNTIF(MI26:MI38,"V")+COUNTIF(MI26:MI38,"P"))/13)&lt;=0.2)</formula>
    </cfRule>
    <cfRule type="expression" dxfId="199" priority="14">
      <formula>AND(((COUNTIF(MI26:MI38,"O")+COUNTIF(MI26:MI38,"L")+COUNTIF(MI26:MI38,"H1")+COUNTIF(MI26:MI38,"H2")+COUNTIF(MI26:MI38,"OY")+COUNTIF(MI26:MI38,"M")+COUNTIF(MI26:MI38,"V")+COUNTIF(MI26:MI38,"P"))/13)&gt;0.2,((COUNTIF(MI26:MI38,"O")+COUNTIF(MI26:MI38,"L")+COUNTIF(MI26:MI38,"H1")+COUNTIF(MI26:MI38,"H2")+COUNTIF(MI26:MI38,"OY")+COUNTIF(MI26:MI38,"M")+COUNTIF(MI26:MI38,"V")+COUNTIF(MI26:MI38,"P"))/13)&lt;=0.4)</formula>
    </cfRule>
    <cfRule type="expression" dxfId="198" priority="15">
      <formula>AND(((COUNTIF(MI26:MI38,"O")+COUNTIF(MI26:MI38,"L")+COUNTIF(MI26:MI38,"H1")+COUNTIF(MI26:MI38,"H2")+COUNTIF(MI26:MI38,"OY")+COUNTIF(MI26:MI38,"M")+COUNTIF(MI26:MI38,"V")+COUNTIF(MI26:MI38,"P"))/13)&gt;=0.4,((COUNTIF(MI26:MI38,"O")+COUNTIF(MI26:MI38,"L")+COUNTIF(MI26:MI38,"H1")+COUNTIF(MI26:MI38,"H2")+COUNTIF(MI26:MI38,"OY")+COUNTIF(MI26:MI38,"M")+COUNTIF(MI26:MI38,"V")+COUNTIF(MI26:MI38,"P"))/13)&lt;=1)</formula>
    </cfRule>
  </conditionalFormatting>
  <conditionalFormatting sqref="MW39:NA39">
    <cfRule type="expression" dxfId="197" priority="6" stopIfTrue="1">
      <formula>AND(MW$7&lt;&gt;"",VLOOKUP(MW$8,$NX$23:$NY$30,2,0)&lt;&gt;"Yes")</formula>
    </cfRule>
    <cfRule type="expression" dxfId="196" priority="7" stopIfTrue="1">
      <formula>ISNUMBER(MATCH(DATE($B$4,$B$3+$B$5-1,MW$7),HolidayListNamedRange,0))</formula>
    </cfRule>
  </conditionalFormatting>
  <conditionalFormatting sqref="MW39:NA39">
    <cfRule type="expression" dxfId="195" priority="8">
      <formula>AND(((COUNTIF(MW26:MW38,"O")+COUNTIF(MW26:MW38,"L")+COUNTIF(MW26:MW38,"H1")+COUNTIF(MW26:MW38,"H2")+COUNTIF(MW26:MW38,"OY")+COUNTIF(MW26:MW38,"M")+COUNTIF(MW26:MW38,"V")+COUNTIF(MW26:MW38,"P"))/13)&gt;=0,((COUNTIF(MW26:MW38,"O")+COUNTIF(MW26:MW38,"L")+COUNTIF(MW26:MW38,"H1")+COUNTIF(MW26:MW38,"H2")+COUNTIF(MW26:MW38,"OY")+COUNTIF(MW26:MW38,"M")+COUNTIF(MW26:MW38,"V")+COUNTIF(MW26:MW38,"P"))/13)&lt;=0.2)</formula>
    </cfRule>
    <cfRule type="expression" dxfId="194" priority="9">
      <formula>AND(((COUNTIF(MW26:MW38,"O")+COUNTIF(MW26:MW38,"L")+COUNTIF(MW26:MW38,"H1")+COUNTIF(MW26:MW38,"H2")+COUNTIF(MW26:MW38,"OY")+COUNTIF(MW26:MW38,"M")+COUNTIF(MW26:MW38,"V")+COUNTIF(MW26:MW38,"P"))/13)&gt;0.2,((COUNTIF(MW26:MW38,"O")+COUNTIF(MW26:MW38,"L")+COUNTIF(MW26:MW38,"H1")+COUNTIF(MW26:MW38,"H2")+COUNTIF(MW26:MW38,"OY")+COUNTIF(MW26:MW38,"M")+COUNTIF(MW26:MW38,"V")+COUNTIF(MW26:MW38,"P"))/13)&lt;=0.4)</formula>
    </cfRule>
    <cfRule type="expression" dxfId="193" priority="10">
      <formula>AND(((COUNTIF(MW26:MW38,"O")+COUNTIF(MW26:MW38,"L")+COUNTIF(MW26:MW38,"H1")+COUNTIF(MW26:MW38,"H2")+COUNTIF(MW26:MW38,"OY")+COUNTIF(MW26:MW38,"M")+COUNTIF(MW26:MW38,"V")+COUNTIF(MW26:MW38,"P"))/13)&gt;=0.4,((COUNTIF(MW26:MW38,"O")+COUNTIF(MW26:MW38,"L")+COUNTIF(MW26:MW38,"H1")+COUNTIF(MW26:MW38,"H2")+COUNTIF(MW26:MW38,"OY")+COUNTIF(MW26:MW38,"M")+COUNTIF(MW26:MW38,"V")+COUNTIF(MW26:MW38,"P"))/13)&lt;=1)</formula>
    </cfRule>
  </conditionalFormatting>
  <conditionalFormatting sqref="NE39:NH39">
    <cfRule type="expression" dxfId="192" priority="1" stopIfTrue="1">
      <formula>AND(NE$7&lt;&gt;"",VLOOKUP(NE$8,$NX$23:$NY$30,2,0)&lt;&gt;"Yes")</formula>
    </cfRule>
    <cfRule type="expression" dxfId="191" priority="2" stopIfTrue="1">
      <formula>ISNUMBER(MATCH(DATE($B$4,$B$3+$B$5-1,NE$7),HolidayListNamedRange,0))</formula>
    </cfRule>
  </conditionalFormatting>
  <conditionalFormatting sqref="NE39:NH39">
    <cfRule type="expression" dxfId="190" priority="3">
      <formula>AND(((COUNTIF(NE26:NE38,"O")+COUNTIF(NE26:NE38,"L")+COUNTIF(NE26:NE38,"H1")+COUNTIF(NE26:NE38,"H2")+COUNTIF(NE26:NE38,"OY")+COUNTIF(NE26:NE38,"M")+COUNTIF(NE26:NE38,"V")+COUNTIF(NE26:NE38,"P"))/13)&gt;=0,((COUNTIF(NE26:NE38,"O")+COUNTIF(NE26:NE38,"L")+COUNTIF(NE26:NE38,"H1")+COUNTIF(NE26:NE38,"H2")+COUNTIF(NE26:NE38,"OY")+COUNTIF(NE26:NE38,"M")+COUNTIF(NE26:NE38,"V")+COUNTIF(NE26:NE38,"P"))/13)&lt;=0.2)</formula>
    </cfRule>
    <cfRule type="expression" dxfId="189" priority="4">
      <formula>AND(((COUNTIF(NE26:NE38,"O")+COUNTIF(NE26:NE38,"L")+COUNTIF(NE26:NE38,"H1")+COUNTIF(NE26:NE38,"H2")+COUNTIF(NE26:NE38,"OY")+COUNTIF(NE26:NE38,"M")+COUNTIF(NE26:NE38,"V")+COUNTIF(NE26:NE38,"P"))/13)&gt;0.2,((COUNTIF(NE26:NE38,"O")+COUNTIF(NE26:NE38,"L")+COUNTIF(NE26:NE38,"H1")+COUNTIF(NE26:NE38,"H2")+COUNTIF(NE26:NE38,"OY")+COUNTIF(NE26:NE38,"M")+COUNTIF(NE26:NE38,"V")+COUNTIF(NE26:NE38,"P"))/13)&lt;=0.4)</formula>
    </cfRule>
    <cfRule type="expression" dxfId="188" priority="5">
      <formula>AND(((COUNTIF(NE26:NE38,"O")+COUNTIF(NE26:NE38,"L")+COUNTIF(NE26:NE38,"H1")+COUNTIF(NE26:NE38,"H2")+COUNTIF(NE26:NE38,"OY")+COUNTIF(NE26:NE38,"M")+COUNTIF(NE26:NE38,"V")+COUNTIF(NE26:NE38,"P"))/13)&gt;=0.4,((COUNTIF(NE26:NE38,"O")+COUNTIF(NE26:NE38,"L")+COUNTIF(NE26:NE38,"H1")+COUNTIF(NE26:NE38,"H2")+COUNTIF(NE26:NE38,"OY")+COUNTIF(NE26:NE38,"M")+COUNTIF(NE26:NE38,"V")+COUNTIF(NE26:NE38,"P"))/13)&lt;=1)</formula>
    </cfRule>
  </conditionalFormatting>
  <dataValidations count="3">
    <dataValidation type="list" allowBlank="1" showInputMessage="1" showErrorMessage="1" sqref="NY25:NY32" xr:uid="{00000000-0002-0000-0000-000000000000}">
      <formula1>"Yes, No"</formula1>
    </dataValidation>
    <dataValidation type="list" allowBlank="1" showInputMessage="1" showErrorMessage="1" sqref="B3" xr:uid="{00000000-0002-0000-0000-000001000000}">
      <formula1>"1,2,3,4,5,6,7,8,9,10,11,12"</formula1>
    </dataValidation>
    <dataValidation type="custom" allowBlank="1" showErrorMessage="1" errorTitle="Not a Valid Date" error="This isn't a valid Date" sqref="C10:NJ45" xr:uid="{00000000-0002-0000-0000-000002000000}">
      <formula1>C$8&lt;&gt;""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aveTracker2"/>
  <dimension ref="A1:ACH46"/>
  <sheetViews>
    <sheetView showGridLines="0" showWhiteSpace="0" zoomScale="54" zoomScaleNormal="100" zoomScaleSheetLayoutView="100" workbookViewId="0">
      <pane xSplit="2" ySplit="9" topLeftCell="C10" activePane="bottomRight" state="frozen"/>
      <selection pane="topRight" activeCell="B1" sqref="B1"/>
      <selection pane="bottomLeft" activeCell="A8" sqref="A8"/>
      <selection pane="bottomRight" activeCell="AL51" sqref="AL51"/>
    </sheetView>
  </sheetViews>
  <sheetFormatPr defaultColWidth="8.81640625" defaultRowHeight="14.5" x14ac:dyDescent="0.35"/>
  <cols>
    <col min="2" max="2" width="31.1796875" bestFit="1" customWidth="1"/>
    <col min="3" max="3" width="4.1796875" hidden="1" customWidth="1"/>
    <col min="4" max="32" width="3.453125" hidden="1" customWidth="1"/>
    <col min="33" max="63" width="3.453125" customWidth="1"/>
    <col min="64" max="374" width="3.453125" hidden="1" customWidth="1"/>
    <col min="375" max="375" width="9.453125" customWidth="1"/>
    <col min="376" max="376" width="8.453125" customWidth="1"/>
    <col min="377" max="386" width="3.453125" customWidth="1"/>
    <col min="387" max="387" width="3" customWidth="1"/>
    <col min="388" max="388" width="14.453125" bestFit="1" customWidth="1"/>
    <col min="389" max="389" width="10.1796875" bestFit="1" customWidth="1"/>
  </cols>
  <sheetData>
    <row r="1" spans="1:762" ht="18.5" x14ac:dyDescent="0.45">
      <c r="B1" s="50"/>
    </row>
    <row r="2" spans="1:762" x14ac:dyDescent="0.35">
      <c r="B2" s="51" t="s">
        <v>47</v>
      </c>
    </row>
    <row r="3" spans="1:762" ht="15.5" hidden="1" x14ac:dyDescent="0.35">
      <c r="B3" s="10">
        <v>1</v>
      </c>
      <c r="C3" s="20"/>
    </row>
    <row r="4" spans="1:762" ht="15.5" hidden="1" x14ac:dyDescent="0.35">
      <c r="B4" s="10">
        <v>2023</v>
      </c>
      <c r="C4" s="20"/>
      <c r="E4" s="16" t="str">
        <f>TEXT(DATE(B4,B5,1),"mmmm yyyy")</f>
        <v>February 2023</v>
      </c>
    </row>
    <row r="5" spans="1:762" ht="41.25" customHeight="1" x14ac:dyDescent="0.35">
      <c r="B5" s="13">
        <v>2</v>
      </c>
      <c r="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A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A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B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B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C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C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D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D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E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E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F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F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G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G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H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H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I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I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J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J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K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K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L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L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K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L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M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N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O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P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Q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R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S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T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U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MV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W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X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Y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MZ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A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NB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NC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D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E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F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G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H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NI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0</v>
      </c>
      <c r="NJ5" s="16" t="b">
        <f>AND(NOT(ISNUMBER(MATCH(DATE($B$4,INT((COLUMN()-1)/31.001)+$B$3,ROUNDUP(MOD(COLUMN()-1,31.001),0)),HolidayList[Date],0))),(VLOOKUP(VLOOKUP(WEEKDAY(DATE($B$4,INT((COLUMN()-1)/31.001)+$B$3,ROUNDUP(MOD(COLUMN()-1,31.001),0)),2),Sheet3!$D$1:$E$7,2,0),$NX$28:$NY$41,2,0)="Yes"))</f>
        <v>1</v>
      </c>
      <c r="NK5" s="3"/>
      <c r="NL5" s="3"/>
      <c r="NM5" s="3"/>
      <c r="NN5" s="3"/>
      <c r="NO5" s="3"/>
      <c r="NP5" s="3"/>
      <c r="NQ5" s="3"/>
      <c r="NR5" s="3"/>
      <c r="NS5" s="3"/>
      <c r="NW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</row>
    <row r="6" spans="1:762" x14ac:dyDescent="0.35">
      <c r="B6" s="5"/>
      <c r="C6" s="16" t="b">
        <f>IFERROR(IF(AND(VLOOKUP(C8,$NX$28:$NY$41,2,0)="Yes",NOT(ISNUMBER(VLOOKUP(DATE($B$4,$B$5+$B$3-1,C7),HolidayList[Date],1,0)))),TRUE,FALSE),FALSE)</f>
        <v>0</v>
      </c>
      <c r="D6" s="16" t="b">
        <f>IFERROR(IF(AND(VLOOKUP(D8,$NX$28:$NY$41,2,0)="Yes",NOT(ISNUMBER(VLOOKUP(DATE($B$4,$B$5+$B$3-1,D7),HolidayList[Date],1,0)))),TRUE,FALSE),FALSE)</f>
        <v>0</v>
      </c>
      <c r="E6" s="16" t="b">
        <f>IFERROR(IF(AND(VLOOKUP(E8,$NX$28:$NY$41,2,0)="Yes",NOT(ISNUMBER(VLOOKUP(DATE($B$4,$B$5+$B$3-1,E7),HolidayList[Date],1,0)))),TRUE,FALSE),FALSE)</f>
        <v>0</v>
      </c>
      <c r="F6" s="16" t="b">
        <f>IFERROR(IF(AND(VLOOKUP(F8,$NX$28:$NY$41,2,0)="Yes",NOT(ISNUMBER(VLOOKUP(DATE($B$4,$B$5+$B$3-1,F7),HolidayList[Date],1,0)))),TRUE,FALSE),FALSE)</f>
        <v>0</v>
      </c>
      <c r="G6" s="16" t="b">
        <f>IFERROR(IF(AND(VLOOKUP(G8,$NX$28:$NY$41,2,0)="Yes",NOT(ISNUMBER(VLOOKUP(DATE($B$4,$B$5+$B$3-1,G7),HolidayList[Date],1,0)))),TRUE,FALSE),FALSE)</f>
        <v>0</v>
      </c>
      <c r="H6" s="16" t="b">
        <f>IFERROR(IF(AND(VLOOKUP(H8,$NX$28:$NY$41,2,0)="Yes",NOT(ISNUMBER(VLOOKUP(DATE($B$4,$B$5+$B$3-1,H7),HolidayList[Date],1,0)))),TRUE,FALSE),FALSE)</f>
        <v>0</v>
      </c>
      <c r="I6" s="16" t="b">
        <f>IFERROR(IF(AND(VLOOKUP(I8,$NX$28:$NY$41,2,0)="Yes",NOT(ISNUMBER(VLOOKUP(DATE($B$4,$B$5+$B$3-1,I7),HolidayList[Date],1,0)))),TRUE,FALSE),FALSE)</f>
        <v>0</v>
      </c>
      <c r="J6" s="16" t="b">
        <f>IFERROR(IF(AND(VLOOKUP(J8,$NX$28:$NY$41,2,0)="Yes",NOT(ISNUMBER(VLOOKUP(DATE($B$4,$B$5+$B$3-1,J7),HolidayList[Date],1,0)))),TRUE,FALSE),FALSE)</f>
        <v>0</v>
      </c>
      <c r="K6" s="16" t="b">
        <f>IFERROR(IF(AND(VLOOKUP(K8,$NX$28:$NY$41,2,0)="Yes",NOT(ISNUMBER(VLOOKUP(DATE($B$4,$B$5+$B$3-1,K7),HolidayList[Date],1,0)))),TRUE,FALSE),FALSE)</f>
        <v>0</v>
      </c>
      <c r="L6" s="16" t="b">
        <f>IFERROR(IF(AND(VLOOKUP(L8,$NX$28:$NY$41,2,0)="Yes",NOT(ISNUMBER(VLOOKUP(DATE($B$4,$B$5+$B$3-1,L7),HolidayList[Date],1,0)))),TRUE,FALSE),FALSE)</f>
        <v>0</v>
      </c>
      <c r="M6" s="16" t="b">
        <f>IFERROR(IF(AND(VLOOKUP(M8,$NX$28:$NY$41,2,0)="Yes",NOT(ISNUMBER(VLOOKUP(DATE($B$4,$B$5+$B$3-1,M7),HolidayList[Date],1,0)))),TRUE,FALSE),FALSE)</f>
        <v>0</v>
      </c>
      <c r="N6" s="16" t="b">
        <f>IFERROR(IF(AND(VLOOKUP(N8,$NX$28:$NY$41,2,0)="Yes",NOT(ISNUMBER(VLOOKUP(DATE($B$4,$B$5+$B$3-1,N7),HolidayList[Date],1,0)))),TRUE,FALSE),FALSE)</f>
        <v>0</v>
      </c>
      <c r="O6" s="16" t="b">
        <f>IFERROR(IF(AND(VLOOKUP(O8,$NX$28:$NY$41,2,0)="Yes",NOT(ISNUMBER(VLOOKUP(DATE($B$4,$B$5+$B$3-1,O7),HolidayList[Date],1,0)))),TRUE,FALSE),FALSE)</f>
        <v>0</v>
      </c>
      <c r="P6" s="16" t="b">
        <f>IFERROR(IF(AND(VLOOKUP(P8,$NX$28:$NY$41,2,0)="Yes",NOT(ISNUMBER(VLOOKUP(DATE($B$4,$B$5+$B$3-1,P7),HolidayList[Date],1,0)))),TRUE,FALSE),FALSE)</f>
        <v>0</v>
      </c>
      <c r="Q6" s="16" t="b">
        <f>IFERROR(IF(AND(VLOOKUP(Q8,$NX$28:$NY$41,2,0)="Yes",NOT(ISNUMBER(VLOOKUP(DATE($B$4,$B$5+$B$3-1,Q7),HolidayList[Date],1,0)))),TRUE,FALSE),FALSE)</f>
        <v>0</v>
      </c>
      <c r="R6" s="16" t="b">
        <f>IFERROR(IF(AND(VLOOKUP(R8,$NX$28:$NY$41,2,0)="Yes",NOT(ISNUMBER(VLOOKUP(DATE($B$4,$B$5+$B$3-1,R7),HolidayList[Date],1,0)))),TRUE,FALSE),FALSE)</f>
        <v>0</v>
      </c>
      <c r="S6" s="16" t="b">
        <f>IFERROR(IF(AND(VLOOKUP(S8,$NX$28:$NY$41,2,0)="Yes",NOT(ISNUMBER(VLOOKUP(DATE($B$4,$B$5+$B$3-1,S7),HolidayList[Date],1,0)))),TRUE,FALSE),FALSE)</f>
        <v>0</v>
      </c>
      <c r="T6" s="16" t="b">
        <f>IFERROR(IF(AND(VLOOKUP(T8,$NX$28:$NY$41,2,0)="Yes",NOT(ISNUMBER(VLOOKUP(DATE($B$4,$B$5+$B$3-1,T7),HolidayList[Date],1,0)))),TRUE,FALSE),FALSE)</f>
        <v>0</v>
      </c>
      <c r="U6" s="16" t="b">
        <f>IFERROR(IF(AND(VLOOKUP(U8,$NX$28:$NY$41,2,0)="Yes",NOT(ISNUMBER(VLOOKUP(DATE($B$4,$B$5+$B$3-1,U7),HolidayList[Date],1,0)))),TRUE,FALSE),FALSE)</f>
        <v>0</v>
      </c>
      <c r="V6" s="16" t="b">
        <f>IFERROR(IF(AND(VLOOKUP(V8,$NX$28:$NY$41,2,0)="Yes",NOT(ISNUMBER(VLOOKUP(DATE($B$4,$B$5+$B$3-1,V7),HolidayList[Date],1,0)))),TRUE,FALSE),FALSE)</f>
        <v>0</v>
      </c>
      <c r="W6" s="16" t="b">
        <f>IFERROR(IF(AND(VLOOKUP(W8,$NX$28:$NY$41,2,0)="Yes",NOT(ISNUMBER(VLOOKUP(DATE($B$4,$B$5+$B$3-1,W7),HolidayList[Date],1,0)))),TRUE,FALSE),FALSE)</f>
        <v>0</v>
      </c>
      <c r="X6" s="16" t="b">
        <f>IFERROR(IF(AND(VLOOKUP(X8,$NX$28:$NY$41,2,0)="Yes",NOT(ISNUMBER(VLOOKUP(DATE($B$4,$B$5+$B$3-1,X7),HolidayList[Date],1,0)))),TRUE,FALSE),FALSE)</f>
        <v>0</v>
      </c>
      <c r="Y6" s="16" t="b">
        <f>IFERROR(IF(AND(VLOOKUP(Y8,$NX$28:$NY$41,2,0)="Yes",NOT(ISNUMBER(VLOOKUP(DATE($B$4,$B$5+$B$3-1,Y7),HolidayList[Date],1,0)))),TRUE,FALSE),FALSE)</f>
        <v>0</v>
      </c>
      <c r="Z6" s="16" t="b">
        <f>IFERROR(IF(AND(VLOOKUP(Z8,$NX$28:$NY$41,2,0)="Yes",NOT(ISNUMBER(VLOOKUP(DATE($B$4,$B$5+$B$3-1,Z7),HolidayList[Date],1,0)))),TRUE,FALSE),FALSE)</f>
        <v>0</v>
      </c>
      <c r="AA6" s="16" t="b">
        <f>IFERROR(IF(AND(VLOOKUP(AA8,$NX$28:$NY$41,2,0)="Yes",NOT(ISNUMBER(VLOOKUP(DATE($B$4,$B$5+$B$3-1,AA7),HolidayList[Date],1,0)))),TRUE,FALSE),FALSE)</f>
        <v>0</v>
      </c>
      <c r="AB6" s="16" t="b">
        <f>IFERROR(IF(AND(VLOOKUP(AB8,$NX$28:$NY$41,2,0)="Yes",NOT(ISNUMBER(VLOOKUP(DATE($B$4,$B$5+$B$3-1,AB7),HolidayList[Date],1,0)))),TRUE,FALSE),FALSE)</f>
        <v>0</v>
      </c>
      <c r="AC6" s="16" t="b">
        <f>IFERROR(IF(AND(VLOOKUP(AC8,$NX$28:$NY$41,2,0)="Yes",NOT(ISNUMBER(VLOOKUP(DATE($B$4,$B$5+$B$3-1,AC7),HolidayList[Date],1,0)))),TRUE,FALSE),FALSE)</f>
        <v>0</v>
      </c>
      <c r="AD6" s="16" t="b">
        <f>IFERROR(IF(AND(VLOOKUP(AD8,$NX$28:$NY$41,2,0)="Yes",NOT(ISNUMBER(VLOOKUP(DATE($B$4,$B$5+$B$3-1,AD7),HolidayList[Date],1,0)))),TRUE,FALSE),FALSE)</f>
        <v>0</v>
      </c>
      <c r="AE6" s="16" t="b">
        <f>IFERROR(IF(AND(VLOOKUP(AE8,$NX$28:$NY$41,2,0)="Yes",NOT(ISNUMBER(VLOOKUP(DATE($B$4,$B$5+$B$3-1,AE7),HolidayList[Date],1,0)))),TRUE,FALSE),FALSE)</f>
        <v>0</v>
      </c>
      <c r="AF6" s="16" t="b">
        <f>IFERROR(IF(AND(VLOOKUP(AF8,$NX$28:$NY$41,2,0)="Yes",NOT(ISNUMBER(VLOOKUP(DATE($B$4,$B$5+$B$3-1,AF7),HolidayList[Date],1,0)))),TRUE,FALSE),FALSE)</f>
        <v>0</v>
      </c>
      <c r="AG6" s="16" t="b">
        <f>IFERROR(IF(AND(VLOOKUP(AG8,$NX$28:$NY$41,2,0)="Yes",NOT(ISNUMBER(VLOOKUP(DATE($B$4,$B$5+$B$3-1,AG7),HolidayList[Date],1,0)))),TRUE,FALSE),FALSE)</f>
        <v>1</v>
      </c>
      <c r="AH6" s="16" t="b">
        <f>IFERROR(IF(AND(VLOOKUP(AH8,$NX$28:$NY$41,2,0)="Yes",NOT(ISNUMBER(VLOOKUP(DATE($B$4,$B$5+$B$3-1,AH7),HolidayList[Date],1,0)))),TRUE,FALSE),FALSE)</f>
        <v>1</v>
      </c>
      <c r="AI6" s="16" t="b">
        <f>IFERROR(IF(AND(VLOOKUP(AI8,$NX$28:$NY$41,2,0)="Yes",NOT(ISNUMBER(VLOOKUP(DATE($B$4,$B$5+$B$3-1,AI7),HolidayList[Date],1,0)))),TRUE,FALSE),FALSE)</f>
        <v>1</v>
      </c>
      <c r="AJ6" s="16" t="b">
        <f>IFERROR(IF(AND(VLOOKUP(AJ8,$NX$28:$NY$41,2,0)="Yes",NOT(ISNUMBER(VLOOKUP(DATE($B$4,$B$5+$B$3-1,AJ7),HolidayList[Date],1,0)))),TRUE,FALSE),FALSE)</f>
        <v>0</v>
      </c>
      <c r="AK6" s="16" t="b">
        <f>IFERROR(IF(AND(VLOOKUP(AK8,$NX$28:$NY$41,2,0)="Yes",NOT(ISNUMBER(VLOOKUP(DATE($B$4,$B$5+$B$3-1,AK7),HolidayList[Date],1,0)))),TRUE,FALSE),FALSE)</f>
        <v>0</v>
      </c>
      <c r="AL6" s="16" t="b">
        <f>IFERROR(IF(AND(VLOOKUP(AL8,$NX$28:$NY$41,2,0)="Yes",NOT(ISNUMBER(VLOOKUP(DATE($B$4,$B$5+$B$3-1,AL7),HolidayList[Date],1,0)))),TRUE,FALSE),FALSE)</f>
        <v>1</v>
      </c>
      <c r="AM6" s="16" t="b">
        <f>IFERROR(IF(AND(VLOOKUP(AM8,$NX$28:$NY$41,2,0)="Yes",NOT(ISNUMBER(VLOOKUP(DATE($B$4,$B$5+$B$3-1,AM7),HolidayList[Date],1,0)))),TRUE,FALSE),FALSE)</f>
        <v>1</v>
      </c>
      <c r="AN6" s="16" t="b">
        <f>IFERROR(IF(AND(VLOOKUP(AN8,$NX$28:$NY$41,2,0)="Yes",NOT(ISNUMBER(VLOOKUP(DATE($B$4,$B$5+$B$3-1,AN7),HolidayList[Date],1,0)))),TRUE,FALSE),FALSE)</f>
        <v>1</v>
      </c>
      <c r="AO6" s="16" t="b">
        <f>IFERROR(IF(AND(VLOOKUP(AO8,$NX$28:$NY$41,2,0)="Yes",NOT(ISNUMBER(VLOOKUP(DATE($B$4,$B$5+$B$3-1,AO7),HolidayList[Date],1,0)))),TRUE,FALSE),FALSE)</f>
        <v>1</v>
      </c>
      <c r="AP6" s="16" t="b">
        <f>IFERROR(IF(AND(VLOOKUP(AP8,$NX$28:$NY$41,2,0)="Yes",NOT(ISNUMBER(VLOOKUP(DATE($B$4,$B$5+$B$3-1,AP7),HolidayList[Date],1,0)))),TRUE,FALSE),FALSE)</f>
        <v>1</v>
      </c>
      <c r="AQ6" s="16" t="b">
        <f>IFERROR(IF(AND(VLOOKUP(AQ8,$NX$28:$NY$41,2,0)="Yes",NOT(ISNUMBER(VLOOKUP(DATE($B$4,$B$5+$B$3-1,AQ7),HolidayList[Date],1,0)))),TRUE,FALSE),FALSE)</f>
        <v>0</v>
      </c>
      <c r="AR6" s="16" t="b">
        <f>IFERROR(IF(AND(VLOOKUP(AR8,$NX$28:$NY$41,2,0)="Yes",NOT(ISNUMBER(VLOOKUP(DATE($B$4,$B$5+$B$3-1,AR7),HolidayList[Date],1,0)))),TRUE,FALSE),FALSE)</f>
        <v>0</v>
      </c>
      <c r="AS6" s="16" t="b">
        <f>IFERROR(IF(AND(VLOOKUP(AS8,$NX$28:$NY$41,2,0)="Yes",NOT(ISNUMBER(VLOOKUP(DATE($B$4,$B$5+$B$3-1,AS7),HolidayList[Date],1,0)))),TRUE,FALSE),FALSE)</f>
        <v>1</v>
      </c>
      <c r="AT6" s="16" t="b">
        <f>IFERROR(IF(AND(VLOOKUP(AT8,$NX$28:$NY$41,2,0)="Yes",NOT(ISNUMBER(VLOOKUP(DATE($B$4,$B$5+$B$3-1,AT7),HolidayList[Date],1,0)))),TRUE,FALSE),FALSE)</f>
        <v>1</v>
      </c>
      <c r="AU6" s="16" t="b">
        <f>IFERROR(IF(AND(VLOOKUP(AU8,$NX$28:$NY$41,2,0)="Yes",NOT(ISNUMBER(VLOOKUP(DATE($B$4,$B$5+$B$3-1,AU7),HolidayList[Date],1,0)))),TRUE,FALSE),FALSE)</f>
        <v>1</v>
      </c>
      <c r="AV6" s="16" t="b">
        <f>IFERROR(IF(AND(VLOOKUP(AV8,$NX$28:$NY$41,2,0)="Yes",NOT(ISNUMBER(VLOOKUP(DATE($B$4,$B$5+$B$3-1,AV7),HolidayList[Date],1,0)))),TRUE,FALSE),FALSE)</f>
        <v>1</v>
      </c>
      <c r="AW6" s="16" t="b">
        <f>IFERROR(IF(AND(VLOOKUP(AW8,$NX$28:$NY$41,2,0)="Yes",NOT(ISNUMBER(VLOOKUP(DATE($B$4,$B$5+$B$3-1,AW7),HolidayList[Date],1,0)))),TRUE,FALSE),FALSE)</f>
        <v>1</v>
      </c>
      <c r="AX6" s="16" t="b">
        <f>IFERROR(IF(AND(VLOOKUP(AX8,$NX$28:$NY$41,2,0)="Yes",NOT(ISNUMBER(VLOOKUP(DATE($B$4,$B$5+$B$3-1,AX7),HolidayList[Date],1,0)))),TRUE,FALSE),FALSE)</f>
        <v>0</v>
      </c>
      <c r="AY6" s="16" t="b">
        <f>IFERROR(IF(AND(VLOOKUP(AY8,$NX$28:$NY$41,2,0)="Yes",NOT(ISNUMBER(VLOOKUP(DATE($B$4,$B$5+$B$3-1,AY7),HolidayList[Date],1,0)))),TRUE,FALSE),FALSE)</f>
        <v>0</v>
      </c>
      <c r="AZ6" s="16" t="b">
        <f>IFERROR(IF(AND(VLOOKUP(AZ8,$NX$28:$NY$41,2,0)="Yes",NOT(ISNUMBER(VLOOKUP(DATE($B$4,$B$5+$B$3-1,AZ7),HolidayList[Date],1,0)))),TRUE,FALSE),FALSE)</f>
        <v>0</v>
      </c>
      <c r="BA6" s="16" t="b">
        <f>IFERROR(IF(AND(VLOOKUP(BA8,$NX$28:$NY$41,2,0)="Yes",NOT(ISNUMBER(VLOOKUP(DATE($B$4,$B$5+$B$3-1,BA7),HolidayList[Date],1,0)))),TRUE,FALSE),FALSE)</f>
        <v>1</v>
      </c>
      <c r="BB6" s="16" t="b">
        <f>IFERROR(IF(AND(VLOOKUP(BB8,$NX$28:$NY$41,2,0)="Yes",NOT(ISNUMBER(VLOOKUP(DATE($B$4,$B$5+$B$3-1,BB7),HolidayList[Date],1,0)))),TRUE,FALSE),FALSE)</f>
        <v>1</v>
      </c>
      <c r="BC6" s="16" t="b">
        <f>IFERROR(IF(AND(VLOOKUP(BC8,$NX$28:$NY$41,2,0)="Yes",NOT(ISNUMBER(VLOOKUP(DATE($B$4,$B$5+$B$3-1,BC7),HolidayList[Date],1,0)))),TRUE,FALSE),FALSE)</f>
        <v>1</v>
      </c>
      <c r="BD6" s="16" t="b">
        <f>IFERROR(IF(AND(VLOOKUP(BD8,$NX$28:$NY$41,2,0)="Yes",NOT(ISNUMBER(VLOOKUP(DATE($B$4,$B$5+$B$3-1,BD7),HolidayList[Date],1,0)))),TRUE,FALSE),FALSE)</f>
        <v>1</v>
      </c>
      <c r="BE6" s="16" t="b">
        <f>IFERROR(IF(AND(VLOOKUP(BE8,$NX$28:$NY$41,2,0)="Yes",NOT(ISNUMBER(VLOOKUP(DATE($B$4,$B$5+$B$3-1,BE7),HolidayList[Date],1,0)))),TRUE,FALSE),FALSE)</f>
        <v>0</v>
      </c>
      <c r="BF6" s="16" t="b">
        <f>IFERROR(IF(AND(VLOOKUP(BF8,$NX$28:$NY$41,2,0)="Yes",NOT(ISNUMBER(VLOOKUP(DATE($B$4,$B$5+$B$3-1,BF7),HolidayList[Date],1,0)))),TRUE,FALSE),FALSE)</f>
        <v>0</v>
      </c>
      <c r="BG6" s="16" t="b">
        <f>IFERROR(IF(AND(VLOOKUP(BG8,$NX$28:$NY$41,2,0)="Yes",NOT(ISNUMBER(VLOOKUP(DATE($B$4,$B$5+$B$3-1,BG7),HolidayList[Date],1,0)))),TRUE,FALSE),FALSE)</f>
        <v>1</v>
      </c>
      <c r="BH6" s="16" t="b">
        <f>IFERROR(IF(AND(VLOOKUP(BH8,$NX$28:$NY$41,2,0)="Yes",NOT(ISNUMBER(VLOOKUP(DATE($B$4,$B$5+$B$3-1,BH7),HolidayList[Date],1,0)))),TRUE,FALSE),FALSE)</f>
        <v>1</v>
      </c>
      <c r="BI6" s="16" t="b">
        <f>IFERROR(IF(AND(VLOOKUP(BI8,$NX$28:$NY$41,2,0)="Yes",NOT(ISNUMBER(VLOOKUP(DATE($B$4,$B$5+$B$3-1,BI7),HolidayList[Date],1,0)))),TRUE,FALSE),FALSE)</f>
        <v>0</v>
      </c>
      <c r="BJ6" s="16" t="b">
        <f>IFERROR(IF(AND(VLOOKUP(BJ8,$NX$28:$NY$41,2,0)="Yes",NOT(ISNUMBER(VLOOKUP(DATE($B$4,$B$5+$B$3-1,BJ7),HolidayList[Date],1,0)))),TRUE,FALSE),FALSE)</f>
        <v>0</v>
      </c>
      <c r="BK6" s="16" t="b">
        <f>IFERROR(IF(AND(VLOOKUP(BK8,$NX$28:$NY$41,2,0)="Yes",NOT(ISNUMBER(VLOOKUP(DATE($B$4,$B$5+$B$3-1,BK7),HolidayList[Date],1,0)))),TRUE,FALSE),FALSE)</f>
        <v>0</v>
      </c>
      <c r="BL6" s="16" t="b">
        <f>IFERROR(IF(AND(VLOOKUP(BL8,$NX$28:$NY$41,2,0)="Yes",NOT(ISNUMBER(VLOOKUP(DATE($B$4,$B$5+$B$3-1,BL7),HolidayList[Date],1,0)))),TRUE,FALSE),FALSE)</f>
        <v>0</v>
      </c>
      <c r="BM6" s="16" t="b">
        <f>IFERROR(IF(AND(VLOOKUP(BM8,$NX$28:$NY$41,2,0)="Yes",NOT(ISNUMBER(VLOOKUP(DATE($B$4,$B$5+$B$3-1,BM7),HolidayList[Date],1,0)))),TRUE,FALSE),FALSE)</f>
        <v>0</v>
      </c>
      <c r="BN6" s="16" t="b">
        <f>IFERROR(IF(AND(VLOOKUP(BN8,$NX$28:$NY$41,2,0)="Yes",NOT(ISNUMBER(VLOOKUP(DATE($B$4,$B$5+$B$3-1,BN7),HolidayList[Date],1,0)))),TRUE,FALSE),FALSE)</f>
        <v>0</v>
      </c>
      <c r="BO6" s="16" t="b">
        <f>IFERROR(IF(AND(VLOOKUP(BO8,$NX$28:$NY$41,2,0)="Yes",NOT(ISNUMBER(VLOOKUP(DATE($B$4,$B$5+$B$3-1,BO7),HolidayList[Date],1,0)))),TRUE,FALSE),FALSE)</f>
        <v>0</v>
      </c>
      <c r="BP6" s="16" t="b">
        <f>IFERROR(IF(AND(VLOOKUP(BP8,$NX$28:$NY$41,2,0)="Yes",NOT(ISNUMBER(VLOOKUP(DATE($B$4,$B$5+$B$3-1,BP7),HolidayList[Date],1,0)))),TRUE,FALSE),FALSE)</f>
        <v>0</v>
      </c>
      <c r="BQ6" s="16" t="b">
        <f>IFERROR(IF(AND(VLOOKUP(BQ8,$NX$28:$NY$41,2,0)="Yes",NOT(ISNUMBER(VLOOKUP(DATE($B$4,$B$5+$B$3-1,BQ7),HolidayList[Date],1,0)))),TRUE,FALSE),FALSE)</f>
        <v>0</v>
      </c>
      <c r="BR6" s="16" t="b">
        <f>IFERROR(IF(AND(VLOOKUP(BR8,$NX$28:$NY$41,2,0)="Yes",NOT(ISNUMBER(VLOOKUP(DATE($B$4,$B$5+$B$3-1,BR7),HolidayList[Date],1,0)))),TRUE,FALSE),FALSE)</f>
        <v>0</v>
      </c>
      <c r="BS6" s="16" t="b">
        <f>IFERROR(IF(AND(VLOOKUP(BS8,$NX$28:$NY$41,2,0)="Yes",NOT(ISNUMBER(VLOOKUP(DATE($B$4,$B$5+$B$3-1,BS7),HolidayList[Date],1,0)))),TRUE,FALSE),FALSE)</f>
        <v>0</v>
      </c>
      <c r="BT6" s="16" t="b">
        <f>IFERROR(IF(AND(VLOOKUP(BT8,$NX$28:$NY$41,2,0)="Yes",NOT(ISNUMBER(VLOOKUP(DATE($B$4,$B$5+$B$3-1,BT7),HolidayList[Date],1,0)))),TRUE,FALSE),FALSE)</f>
        <v>0</v>
      </c>
      <c r="BU6" s="16" t="b">
        <f>IFERROR(IF(AND(VLOOKUP(BU8,$NX$28:$NY$41,2,0)="Yes",NOT(ISNUMBER(VLOOKUP(DATE($B$4,$B$5+$B$3-1,BU7),HolidayList[Date],1,0)))),TRUE,FALSE),FALSE)</f>
        <v>0</v>
      </c>
      <c r="BV6" s="16" t="b">
        <f>IFERROR(IF(AND(VLOOKUP(BV8,$NX$28:$NY$41,2,0)="Yes",NOT(ISNUMBER(VLOOKUP(DATE($B$4,$B$5+$B$3-1,BV7),HolidayList[Date],1,0)))),TRUE,FALSE),FALSE)</f>
        <v>0</v>
      </c>
      <c r="BW6" s="16" t="b">
        <f>IFERROR(IF(AND(VLOOKUP(BW8,$NX$28:$NY$41,2,0)="Yes",NOT(ISNUMBER(VLOOKUP(DATE($B$4,$B$5+$B$3-1,BW7),HolidayList[Date],1,0)))),TRUE,FALSE),FALSE)</f>
        <v>0</v>
      </c>
      <c r="BX6" s="16" t="b">
        <f>IFERROR(IF(AND(VLOOKUP(BX8,$NX$28:$NY$41,2,0)="Yes",NOT(ISNUMBER(VLOOKUP(DATE($B$4,$B$5+$B$3-1,BX7),HolidayList[Date],1,0)))),TRUE,FALSE),FALSE)</f>
        <v>0</v>
      </c>
      <c r="BY6" s="16" t="b">
        <f>IFERROR(IF(AND(VLOOKUP(BY8,$NX$28:$NY$41,2,0)="Yes",NOT(ISNUMBER(VLOOKUP(DATE($B$4,$B$5+$B$3-1,BY7),HolidayList[Date],1,0)))),TRUE,FALSE),FALSE)</f>
        <v>0</v>
      </c>
      <c r="BZ6" s="16" t="b">
        <f>IFERROR(IF(AND(VLOOKUP(BZ8,$NX$28:$NY$41,2,0)="Yes",NOT(ISNUMBER(VLOOKUP(DATE($B$4,$B$5+$B$3-1,BZ7),HolidayList[Date],1,0)))),TRUE,FALSE),FALSE)</f>
        <v>0</v>
      </c>
      <c r="CA6" s="16" t="b">
        <f>IFERROR(IF(AND(VLOOKUP(CA8,$NX$28:$NY$41,2,0)="Yes",NOT(ISNUMBER(VLOOKUP(DATE($B$4,$B$5+$B$3-1,CA7),HolidayList[Date],1,0)))),TRUE,FALSE),FALSE)</f>
        <v>0</v>
      </c>
      <c r="CB6" s="16" t="b">
        <f>IFERROR(IF(AND(VLOOKUP(CB8,$NX$28:$NY$41,2,0)="Yes",NOT(ISNUMBER(VLOOKUP(DATE($B$4,$B$5+$B$3-1,CB7),HolidayList[Date],1,0)))),TRUE,FALSE),FALSE)</f>
        <v>0</v>
      </c>
      <c r="CC6" s="16" t="b">
        <f>IFERROR(IF(AND(VLOOKUP(CC8,$NX$28:$NY$41,2,0)="Yes",NOT(ISNUMBER(VLOOKUP(DATE($B$4,$B$5+$B$3-1,CC7),HolidayList[Date],1,0)))),TRUE,FALSE),FALSE)</f>
        <v>0</v>
      </c>
      <c r="CD6" s="16" t="b">
        <f>IFERROR(IF(AND(VLOOKUP(CD8,$NX$28:$NY$41,2,0)="Yes",NOT(ISNUMBER(VLOOKUP(DATE($B$4,$B$5+$B$3-1,CD7),HolidayList[Date],1,0)))),TRUE,FALSE),FALSE)</f>
        <v>0</v>
      </c>
      <c r="CE6" s="16" t="b">
        <f>IFERROR(IF(AND(VLOOKUP(CE8,$NX$28:$NY$41,2,0)="Yes",NOT(ISNUMBER(VLOOKUP(DATE($B$4,$B$5+$B$3-1,CE7),HolidayList[Date],1,0)))),TRUE,FALSE),FALSE)</f>
        <v>0</v>
      </c>
      <c r="CF6" s="16" t="b">
        <f>IFERROR(IF(AND(VLOOKUP(CF8,$NX$28:$NY$41,2,0)="Yes",NOT(ISNUMBER(VLOOKUP(DATE($B$4,$B$5+$B$3-1,CF7),HolidayList[Date],1,0)))),TRUE,FALSE),FALSE)</f>
        <v>0</v>
      </c>
      <c r="CG6" s="16" t="b">
        <f>IFERROR(IF(AND(VLOOKUP(CG8,$NX$28:$NY$41,2,0)="Yes",NOT(ISNUMBER(VLOOKUP(DATE($B$4,$B$5+$B$3-1,CG7),HolidayList[Date],1,0)))),TRUE,FALSE),FALSE)</f>
        <v>0</v>
      </c>
      <c r="CH6" s="16" t="b">
        <f>IFERROR(IF(AND(VLOOKUP(CH8,$NX$28:$NY$41,2,0)="Yes",NOT(ISNUMBER(VLOOKUP(DATE($B$4,$B$5+$B$3-1,CH7),HolidayList[Date],1,0)))),TRUE,FALSE),FALSE)</f>
        <v>0</v>
      </c>
      <c r="CI6" s="16" t="b">
        <f>IFERROR(IF(AND(VLOOKUP(CI8,$NX$28:$NY$41,2,0)="Yes",NOT(ISNUMBER(VLOOKUP(DATE($B$4,$B$5+$B$3-1,CI7),HolidayList[Date],1,0)))),TRUE,FALSE),FALSE)</f>
        <v>0</v>
      </c>
      <c r="CJ6" s="16" t="b">
        <f>IFERROR(IF(AND(VLOOKUP(CJ8,$NX$28:$NY$41,2,0)="Yes",NOT(ISNUMBER(VLOOKUP(DATE($B$4,$B$5+$B$3-1,CJ7),HolidayList[Date],1,0)))),TRUE,FALSE),FALSE)</f>
        <v>0</v>
      </c>
      <c r="CK6" s="16" t="b">
        <f>IFERROR(IF(AND(VLOOKUP(CK8,$NX$28:$NY$41,2,0)="Yes",NOT(ISNUMBER(VLOOKUP(DATE($B$4,$B$5+$B$3-1,CK7),HolidayList[Date],1,0)))),TRUE,FALSE),FALSE)</f>
        <v>0</v>
      </c>
      <c r="CL6" s="16" t="b">
        <f>IFERROR(IF(AND(VLOOKUP(CL8,$NX$28:$NY$41,2,0)="Yes",NOT(ISNUMBER(VLOOKUP(DATE($B$4,$B$5+$B$3-1,CL7),HolidayList[Date],1,0)))),TRUE,FALSE),FALSE)</f>
        <v>0</v>
      </c>
      <c r="CM6" s="16" t="b">
        <f>IFERROR(IF(AND(VLOOKUP(CM8,$NX$28:$NY$41,2,0)="Yes",NOT(ISNUMBER(VLOOKUP(DATE($B$4,$B$5+$B$3-1,CM7),HolidayList[Date],1,0)))),TRUE,FALSE),FALSE)</f>
        <v>0</v>
      </c>
      <c r="CN6" s="16" t="b">
        <f>IFERROR(IF(AND(VLOOKUP(CN8,$NX$28:$NY$41,2,0)="Yes",NOT(ISNUMBER(VLOOKUP(DATE($B$4,$B$5+$B$3-1,CN7),HolidayList[Date],1,0)))),TRUE,FALSE),FALSE)</f>
        <v>0</v>
      </c>
      <c r="CO6" s="16" t="b">
        <f>IFERROR(IF(AND(VLOOKUP(CO8,$NX$28:$NY$41,2,0)="Yes",NOT(ISNUMBER(VLOOKUP(DATE($B$4,$B$5+$B$3-1,CO7),HolidayList[Date],1,0)))),TRUE,FALSE),FALSE)</f>
        <v>0</v>
      </c>
      <c r="CP6" s="16" t="b">
        <f>IFERROR(IF(AND(VLOOKUP(CP8,$NX$28:$NY$41,2,0)="Yes",NOT(ISNUMBER(VLOOKUP(DATE($B$4,$B$5+$B$3-1,CP7),HolidayList[Date],1,0)))),TRUE,FALSE),FALSE)</f>
        <v>0</v>
      </c>
      <c r="CQ6" s="16" t="b">
        <f>IFERROR(IF(AND(VLOOKUP(CQ8,$NX$28:$NY$41,2,0)="Yes",NOT(ISNUMBER(VLOOKUP(DATE($B$4,$B$5+$B$3-1,CQ7),HolidayList[Date],1,0)))),TRUE,FALSE),FALSE)</f>
        <v>0</v>
      </c>
      <c r="CR6" s="16" t="b">
        <f>IFERROR(IF(AND(VLOOKUP(CR8,$NX$28:$NY$41,2,0)="Yes",NOT(ISNUMBER(VLOOKUP(DATE($B$4,$B$5+$B$3-1,CR7),HolidayList[Date],1,0)))),TRUE,FALSE),FALSE)</f>
        <v>0</v>
      </c>
      <c r="CS6" s="16" t="b">
        <f>IFERROR(IF(AND(VLOOKUP(CS8,$NX$28:$NY$41,2,0)="Yes",NOT(ISNUMBER(VLOOKUP(DATE($B$4,$B$5+$B$3-1,CS7),HolidayList[Date],1,0)))),TRUE,FALSE),FALSE)</f>
        <v>0</v>
      </c>
      <c r="CT6" s="16" t="b">
        <f>IFERROR(IF(AND(VLOOKUP(CT8,$NX$28:$NY$41,2,0)="Yes",NOT(ISNUMBER(VLOOKUP(DATE($B$4,$B$5+$B$3-1,CT7),HolidayList[Date],1,0)))),TRUE,FALSE),FALSE)</f>
        <v>0</v>
      </c>
      <c r="CU6" s="16" t="b">
        <f>IFERROR(IF(AND(VLOOKUP(CU8,$NX$28:$NY$41,2,0)="Yes",NOT(ISNUMBER(VLOOKUP(DATE($B$4,$B$5+$B$3-1,CU7),HolidayList[Date],1,0)))),TRUE,FALSE),FALSE)</f>
        <v>0</v>
      </c>
      <c r="CV6" s="16" t="b">
        <f>IFERROR(IF(AND(VLOOKUP(CV8,$NX$28:$NY$41,2,0)="Yes",NOT(ISNUMBER(VLOOKUP(DATE($B$4,$B$5+$B$3-1,CV7),HolidayList[Date],1,0)))),TRUE,FALSE),FALSE)</f>
        <v>0</v>
      </c>
      <c r="CW6" s="16" t="b">
        <f>IFERROR(IF(AND(VLOOKUP(CW8,$NX$28:$NY$41,2,0)="Yes",NOT(ISNUMBER(VLOOKUP(DATE($B$4,$B$5+$B$3-1,CW7),HolidayList[Date],1,0)))),TRUE,FALSE),FALSE)</f>
        <v>0</v>
      </c>
      <c r="CX6" s="16" t="b">
        <f>IFERROR(IF(AND(VLOOKUP(CX8,$NX$28:$NY$41,2,0)="Yes",NOT(ISNUMBER(VLOOKUP(DATE($B$4,$B$5+$B$3-1,CX7),HolidayList[Date],1,0)))),TRUE,FALSE),FALSE)</f>
        <v>0</v>
      </c>
      <c r="CY6" s="16" t="b">
        <f>IFERROR(IF(AND(VLOOKUP(CY8,$NX$28:$NY$41,2,0)="Yes",NOT(ISNUMBER(VLOOKUP(DATE($B$4,$B$5+$B$3-1,CY7),HolidayList[Date],1,0)))),TRUE,FALSE),FALSE)</f>
        <v>0</v>
      </c>
      <c r="CZ6" s="16" t="b">
        <f>IFERROR(IF(AND(VLOOKUP(CZ8,$NX$28:$NY$41,2,0)="Yes",NOT(ISNUMBER(VLOOKUP(DATE($B$4,$B$5+$B$3-1,CZ7),HolidayList[Date],1,0)))),TRUE,FALSE),FALSE)</f>
        <v>0</v>
      </c>
      <c r="DA6" s="16" t="b">
        <f>IFERROR(IF(AND(VLOOKUP(DA8,$NX$28:$NY$41,2,0)="Yes",NOT(ISNUMBER(VLOOKUP(DATE($B$4,$B$5+$B$3-1,DA7),HolidayList[Date],1,0)))),TRUE,FALSE),FALSE)</f>
        <v>0</v>
      </c>
      <c r="DB6" s="16" t="b">
        <f>IFERROR(IF(AND(VLOOKUP(DB8,$NX$28:$NY$41,2,0)="Yes",NOT(ISNUMBER(VLOOKUP(DATE($B$4,$B$5+$B$3-1,DB7),HolidayList[Date],1,0)))),TRUE,FALSE),FALSE)</f>
        <v>0</v>
      </c>
      <c r="DC6" s="16" t="b">
        <f>IFERROR(IF(AND(VLOOKUP(DC8,$NX$28:$NY$41,2,0)="Yes",NOT(ISNUMBER(VLOOKUP(DATE($B$4,$B$5+$B$3-1,DC7),HolidayList[Date],1,0)))),TRUE,FALSE),FALSE)</f>
        <v>0</v>
      </c>
      <c r="DD6" s="16" t="b">
        <f>IFERROR(IF(AND(VLOOKUP(DD8,$NX$28:$NY$41,2,0)="Yes",NOT(ISNUMBER(VLOOKUP(DATE($B$4,$B$5+$B$3-1,DD7),HolidayList[Date],1,0)))),TRUE,FALSE),FALSE)</f>
        <v>0</v>
      </c>
      <c r="DE6" s="16" t="b">
        <f>IFERROR(IF(AND(VLOOKUP(DE8,$NX$28:$NY$41,2,0)="Yes",NOT(ISNUMBER(VLOOKUP(DATE($B$4,$B$5+$B$3-1,DE7),HolidayList[Date],1,0)))),TRUE,FALSE),FALSE)</f>
        <v>0</v>
      </c>
      <c r="DF6" s="16" t="b">
        <f>IFERROR(IF(AND(VLOOKUP(DF8,$NX$28:$NY$41,2,0)="Yes",NOT(ISNUMBER(VLOOKUP(DATE($B$4,$B$5+$B$3-1,DF7),HolidayList[Date],1,0)))),TRUE,FALSE),FALSE)</f>
        <v>0</v>
      </c>
      <c r="DG6" s="16" t="b">
        <f>IFERROR(IF(AND(VLOOKUP(DG8,$NX$28:$NY$41,2,0)="Yes",NOT(ISNUMBER(VLOOKUP(DATE($B$4,$B$5+$B$3-1,DG7),HolidayList[Date],1,0)))),TRUE,FALSE),FALSE)</f>
        <v>0</v>
      </c>
      <c r="DH6" s="16" t="b">
        <f>IFERROR(IF(AND(VLOOKUP(DH8,$NX$28:$NY$41,2,0)="Yes",NOT(ISNUMBER(VLOOKUP(DATE($B$4,$B$5+$B$3-1,DH7),HolidayList[Date],1,0)))),TRUE,FALSE),FALSE)</f>
        <v>0</v>
      </c>
      <c r="DI6" s="16" t="b">
        <f>IFERROR(IF(AND(VLOOKUP(DI8,$NX$28:$NY$41,2,0)="Yes",NOT(ISNUMBER(VLOOKUP(DATE($B$4,$B$5+$B$3-1,DI7),HolidayList[Date],1,0)))),TRUE,FALSE),FALSE)</f>
        <v>0</v>
      </c>
      <c r="DJ6" s="16" t="b">
        <f>IFERROR(IF(AND(VLOOKUP(DJ8,$NX$28:$NY$41,2,0)="Yes",NOT(ISNUMBER(VLOOKUP(DATE($B$4,$B$5+$B$3-1,DJ7),HolidayList[Date],1,0)))),TRUE,FALSE),FALSE)</f>
        <v>0</v>
      </c>
      <c r="DK6" s="16" t="b">
        <f>IFERROR(IF(AND(VLOOKUP(DK8,$NX$28:$NY$41,2,0)="Yes",NOT(ISNUMBER(VLOOKUP(DATE($B$4,$B$5+$B$3-1,DK7),HolidayList[Date],1,0)))),TRUE,FALSE),FALSE)</f>
        <v>0</v>
      </c>
      <c r="DL6" s="16" t="b">
        <f>IFERROR(IF(AND(VLOOKUP(DL8,$NX$28:$NY$41,2,0)="Yes",NOT(ISNUMBER(VLOOKUP(DATE($B$4,$B$5+$B$3-1,DL7),HolidayList[Date],1,0)))),TRUE,FALSE),FALSE)</f>
        <v>0</v>
      </c>
      <c r="DM6" s="16" t="b">
        <f>IFERROR(IF(AND(VLOOKUP(DM8,$NX$28:$NY$41,2,0)="Yes",NOT(ISNUMBER(VLOOKUP(DATE($B$4,$B$5+$B$3-1,DM7),HolidayList[Date],1,0)))),TRUE,FALSE),FALSE)</f>
        <v>0</v>
      </c>
      <c r="DN6" s="16" t="b">
        <f>IFERROR(IF(AND(VLOOKUP(DN8,$NX$28:$NY$41,2,0)="Yes",NOT(ISNUMBER(VLOOKUP(DATE($B$4,$B$5+$B$3-1,DN7),HolidayList[Date],1,0)))),TRUE,FALSE),FALSE)</f>
        <v>0</v>
      </c>
      <c r="DO6" s="16" t="b">
        <f>IFERROR(IF(AND(VLOOKUP(DO8,$NX$28:$NY$41,2,0)="Yes",NOT(ISNUMBER(VLOOKUP(DATE($B$4,$B$5+$B$3-1,DO7),HolidayList[Date],1,0)))),TRUE,FALSE),FALSE)</f>
        <v>0</v>
      </c>
      <c r="DP6" s="16" t="b">
        <f>IFERROR(IF(AND(VLOOKUP(DP8,$NX$28:$NY$41,2,0)="Yes",NOT(ISNUMBER(VLOOKUP(DATE($B$4,$B$5+$B$3-1,DP7),HolidayList[Date],1,0)))),TRUE,FALSE),FALSE)</f>
        <v>0</v>
      </c>
      <c r="DQ6" s="16" t="b">
        <f>IFERROR(IF(AND(VLOOKUP(DQ8,$NX$28:$NY$41,2,0)="Yes",NOT(ISNUMBER(VLOOKUP(DATE($B$4,$B$5+$B$3-1,DQ7),HolidayList[Date],1,0)))),TRUE,FALSE),FALSE)</f>
        <v>0</v>
      </c>
      <c r="DR6" s="16" t="b">
        <f>IFERROR(IF(AND(VLOOKUP(DR8,$NX$28:$NY$41,2,0)="Yes",NOT(ISNUMBER(VLOOKUP(DATE($B$4,$B$5+$B$3-1,DR7),HolidayList[Date],1,0)))),TRUE,FALSE),FALSE)</f>
        <v>0</v>
      </c>
      <c r="DS6" s="16" t="b">
        <f>IFERROR(IF(AND(VLOOKUP(DS8,$NX$28:$NY$41,2,0)="Yes",NOT(ISNUMBER(VLOOKUP(DATE($B$4,$B$5+$B$3-1,DS7),HolidayList[Date],1,0)))),TRUE,FALSE),FALSE)</f>
        <v>0</v>
      </c>
      <c r="DT6" s="16" t="b">
        <f>IFERROR(IF(AND(VLOOKUP(DT8,$NX$28:$NY$41,2,0)="Yes",NOT(ISNUMBER(VLOOKUP(DATE($B$4,$B$5+$B$3-1,DT7),HolidayList[Date],1,0)))),TRUE,FALSE),FALSE)</f>
        <v>0</v>
      </c>
      <c r="DU6" s="16" t="b">
        <f>IFERROR(IF(AND(VLOOKUP(DU8,$NX$28:$NY$41,2,0)="Yes",NOT(ISNUMBER(VLOOKUP(DATE($B$4,$B$5+$B$3-1,DU7),HolidayList[Date],1,0)))),TRUE,FALSE),FALSE)</f>
        <v>0</v>
      </c>
      <c r="DV6" s="16" t="b">
        <f>IFERROR(IF(AND(VLOOKUP(DV8,$NX$28:$NY$41,2,0)="Yes",NOT(ISNUMBER(VLOOKUP(DATE($B$4,$B$5+$B$3-1,DV7),HolidayList[Date],1,0)))),TRUE,FALSE),FALSE)</f>
        <v>0</v>
      </c>
      <c r="DW6" s="16" t="b">
        <f>IFERROR(IF(AND(VLOOKUP(DW8,$NX$28:$NY$41,2,0)="Yes",NOT(ISNUMBER(VLOOKUP(DATE($B$4,$B$5+$B$3-1,DW7),HolidayList[Date],1,0)))),TRUE,FALSE),FALSE)</f>
        <v>0</v>
      </c>
      <c r="DX6" s="16" t="b">
        <f>IFERROR(IF(AND(VLOOKUP(DX8,$NX$28:$NY$41,2,0)="Yes",NOT(ISNUMBER(VLOOKUP(DATE($B$4,$B$5+$B$3-1,DX7),HolidayList[Date],1,0)))),TRUE,FALSE),FALSE)</f>
        <v>0</v>
      </c>
      <c r="DY6" s="16" t="b">
        <f>IFERROR(IF(AND(VLOOKUP(DY8,$NX$28:$NY$41,2,0)="Yes",NOT(ISNUMBER(VLOOKUP(DATE($B$4,$B$5+$B$3-1,DY7),HolidayList[Date],1,0)))),TRUE,FALSE),FALSE)</f>
        <v>0</v>
      </c>
      <c r="DZ6" s="16" t="b">
        <f>IFERROR(IF(AND(VLOOKUP(DZ8,$NX$28:$NY$41,2,0)="Yes",NOT(ISNUMBER(VLOOKUP(DATE($B$4,$B$5+$B$3-1,DZ7),HolidayList[Date],1,0)))),TRUE,FALSE),FALSE)</f>
        <v>0</v>
      </c>
      <c r="EA6" s="16" t="b">
        <f>IFERROR(IF(AND(VLOOKUP(EA8,$NX$28:$NY$41,2,0)="Yes",NOT(ISNUMBER(VLOOKUP(DATE($B$4,$B$5+$B$3-1,EA7),HolidayList[Date],1,0)))),TRUE,FALSE),FALSE)</f>
        <v>0</v>
      </c>
      <c r="EB6" s="16" t="b">
        <f>IFERROR(IF(AND(VLOOKUP(EB8,$NX$28:$NY$41,2,0)="Yes",NOT(ISNUMBER(VLOOKUP(DATE($B$4,$B$5+$B$3-1,EB7),HolidayList[Date],1,0)))),TRUE,FALSE),FALSE)</f>
        <v>0</v>
      </c>
      <c r="EC6" s="16" t="b">
        <f>IFERROR(IF(AND(VLOOKUP(EC8,$NX$28:$NY$41,2,0)="Yes",NOT(ISNUMBER(VLOOKUP(DATE($B$4,$B$5+$B$3-1,EC7),HolidayList[Date],1,0)))),TRUE,FALSE),FALSE)</f>
        <v>0</v>
      </c>
      <c r="ED6" s="16" t="b">
        <f>IFERROR(IF(AND(VLOOKUP(ED8,$NX$28:$NY$41,2,0)="Yes",NOT(ISNUMBER(VLOOKUP(DATE($B$4,$B$5+$B$3-1,ED7),HolidayList[Date],1,0)))),TRUE,FALSE),FALSE)</f>
        <v>0</v>
      </c>
      <c r="EE6" s="16" t="b">
        <f>IFERROR(IF(AND(VLOOKUP(EE8,$NX$28:$NY$41,2,0)="Yes",NOT(ISNUMBER(VLOOKUP(DATE($B$4,$B$5+$B$3-1,EE7),HolidayList[Date],1,0)))),TRUE,FALSE),FALSE)</f>
        <v>0</v>
      </c>
      <c r="EF6" s="16" t="b">
        <f>IFERROR(IF(AND(VLOOKUP(EF8,$NX$28:$NY$41,2,0)="Yes",NOT(ISNUMBER(VLOOKUP(DATE($B$4,$B$5+$B$3-1,EF7),HolidayList[Date],1,0)))),TRUE,FALSE),FALSE)</f>
        <v>0</v>
      </c>
      <c r="EG6" s="16" t="b">
        <f>IFERROR(IF(AND(VLOOKUP(EG8,$NX$28:$NY$41,2,0)="Yes",NOT(ISNUMBER(VLOOKUP(DATE($B$4,$B$5+$B$3-1,EG7),HolidayList[Date],1,0)))),TRUE,FALSE),FALSE)</f>
        <v>0</v>
      </c>
      <c r="EH6" s="16" t="b">
        <f>IFERROR(IF(AND(VLOOKUP(EH8,$NX$28:$NY$41,2,0)="Yes",NOT(ISNUMBER(VLOOKUP(DATE($B$4,$B$5+$B$3-1,EH7),HolidayList[Date],1,0)))),TRUE,FALSE),FALSE)</f>
        <v>0</v>
      </c>
      <c r="EI6" s="16" t="b">
        <f>IFERROR(IF(AND(VLOOKUP(EI8,$NX$28:$NY$41,2,0)="Yes",NOT(ISNUMBER(VLOOKUP(DATE($B$4,$B$5+$B$3-1,EI7),HolidayList[Date],1,0)))),TRUE,FALSE),FALSE)</f>
        <v>0</v>
      </c>
      <c r="EJ6" s="16" t="b">
        <f>IFERROR(IF(AND(VLOOKUP(EJ8,$NX$28:$NY$41,2,0)="Yes",NOT(ISNUMBER(VLOOKUP(DATE($B$4,$B$5+$B$3-1,EJ7),HolidayList[Date],1,0)))),TRUE,FALSE),FALSE)</f>
        <v>0</v>
      </c>
      <c r="EK6" s="16" t="b">
        <f>IFERROR(IF(AND(VLOOKUP(EK8,$NX$28:$NY$41,2,0)="Yes",NOT(ISNUMBER(VLOOKUP(DATE($B$4,$B$5+$B$3-1,EK7),HolidayList[Date],1,0)))),TRUE,FALSE),FALSE)</f>
        <v>0</v>
      </c>
      <c r="EL6" s="16" t="b">
        <f>IFERROR(IF(AND(VLOOKUP(EL8,$NX$28:$NY$41,2,0)="Yes",NOT(ISNUMBER(VLOOKUP(DATE($B$4,$B$5+$B$3-1,EL7),HolidayList[Date],1,0)))),TRUE,FALSE),FALSE)</f>
        <v>0</v>
      </c>
      <c r="EM6" s="16" t="b">
        <f>IFERROR(IF(AND(VLOOKUP(EM8,$NX$28:$NY$41,2,0)="Yes",NOT(ISNUMBER(VLOOKUP(DATE($B$4,$B$5+$B$3-1,EM7),HolidayList[Date],1,0)))),TRUE,FALSE),FALSE)</f>
        <v>0</v>
      </c>
      <c r="EN6" s="16" t="b">
        <f>IFERROR(IF(AND(VLOOKUP(EN8,$NX$28:$NY$41,2,0)="Yes",NOT(ISNUMBER(VLOOKUP(DATE($B$4,$B$5+$B$3-1,EN7),HolidayList[Date],1,0)))),TRUE,FALSE),FALSE)</f>
        <v>0</v>
      </c>
      <c r="EO6" s="16" t="b">
        <f>IFERROR(IF(AND(VLOOKUP(EO8,$NX$28:$NY$41,2,0)="Yes",NOT(ISNUMBER(VLOOKUP(DATE($B$4,$B$5+$B$3-1,EO7),HolidayList[Date],1,0)))),TRUE,FALSE),FALSE)</f>
        <v>0</v>
      </c>
      <c r="EP6" s="16" t="b">
        <f>IFERROR(IF(AND(VLOOKUP(EP8,$NX$28:$NY$41,2,0)="Yes",NOT(ISNUMBER(VLOOKUP(DATE($B$4,$B$5+$B$3-1,EP7),HolidayList[Date],1,0)))),TRUE,FALSE),FALSE)</f>
        <v>0</v>
      </c>
      <c r="EQ6" s="16" t="b">
        <f>IFERROR(IF(AND(VLOOKUP(EQ8,$NX$28:$NY$41,2,0)="Yes",NOT(ISNUMBER(VLOOKUP(DATE($B$4,$B$5+$B$3-1,EQ7),HolidayList[Date],1,0)))),TRUE,FALSE),FALSE)</f>
        <v>0</v>
      </c>
      <c r="ER6" s="16" t="b">
        <f>IFERROR(IF(AND(VLOOKUP(ER8,$NX$28:$NY$41,2,0)="Yes",NOT(ISNUMBER(VLOOKUP(DATE($B$4,$B$5+$B$3-1,ER7),HolidayList[Date],1,0)))),TRUE,FALSE),FALSE)</f>
        <v>0</v>
      </c>
      <c r="ES6" s="16" t="b">
        <f>IFERROR(IF(AND(VLOOKUP(ES8,$NX$28:$NY$41,2,0)="Yes",NOT(ISNUMBER(VLOOKUP(DATE($B$4,$B$5+$B$3-1,ES7),HolidayList[Date],1,0)))),TRUE,FALSE),FALSE)</f>
        <v>0</v>
      </c>
      <c r="ET6" s="16" t="b">
        <f>IFERROR(IF(AND(VLOOKUP(ET8,$NX$28:$NY$41,2,0)="Yes",NOT(ISNUMBER(VLOOKUP(DATE($B$4,$B$5+$B$3-1,ET7),HolidayList[Date],1,0)))),TRUE,FALSE),FALSE)</f>
        <v>0</v>
      </c>
      <c r="EU6" s="16" t="b">
        <f>IFERROR(IF(AND(VLOOKUP(EU8,$NX$28:$NY$41,2,0)="Yes",NOT(ISNUMBER(VLOOKUP(DATE($B$4,$B$5+$B$3-1,EU7),HolidayList[Date],1,0)))),TRUE,FALSE),FALSE)</f>
        <v>0</v>
      </c>
      <c r="EV6" s="16" t="b">
        <f>IFERROR(IF(AND(VLOOKUP(EV8,$NX$28:$NY$41,2,0)="Yes",NOT(ISNUMBER(VLOOKUP(DATE($B$4,$B$5+$B$3-1,EV7),HolidayList[Date],1,0)))),TRUE,FALSE),FALSE)</f>
        <v>0</v>
      </c>
      <c r="EW6" s="16" t="b">
        <f>IFERROR(IF(AND(VLOOKUP(EW8,$NX$28:$NY$41,2,0)="Yes",NOT(ISNUMBER(VLOOKUP(DATE($B$4,$B$5+$B$3-1,EW7),HolidayList[Date],1,0)))),TRUE,FALSE),FALSE)</f>
        <v>0</v>
      </c>
      <c r="EX6" s="16" t="b">
        <f>IFERROR(IF(AND(VLOOKUP(EX8,$NX$28:$NY$41,2,0)="Yes",NOT(ISNUMBER(VLOOKUP(DATE($B$4,$B$5+$B$3-1,EX7),HolidayList[Date],1,0)))),TRUE,FALSE),FALSE)</f>
        <v>0</v>
      </c>
      <c r="EY6" s="16" t="b">
        <f>IFERROR(IF(AND(VLOOKUP(EY8,$NX$28:$NY$41,2,0)="Yes",NOT(ISNUMBER(VLOOKUP(DATE($B$4,$B$5+$B$3-1,EY7),HolidayList[Date],1,0)))),TRUE,FALSE),FALSE)</f>
        <v>0</v>
      </c>
      <c r="EZ6" s="16" t="b">
        <f>IFERROR(IF(AND(VLOOKUP(EZ8,$NX$28:$NY$41,2,0)="Yes",NOT(ISNUMBER(VLOOKUP(DATE($B$4,$B$5+$B$3-1,EZ7),HolidayList[Date],1,0)))),TRUE,FALSE),FALSE)</f>
        <v>0</v>
      </c>
      <c r="FA6" s="16" t="b">
        <f>IFERROR(IF(AND(VLOOKUP(FA8,$NX$28:$NY$41,2,0)="Yes",NOT(ISNUMBER(VLOOKUP(DATE($B$4,$B$5+$B$3-1,FA7),HolidayList[Date],1,0)))),TRUE,FALSE),FALSE)</f>
        <v>0</v>
      </c>
      <c r="FB6" s="16" t="b">
        <f>IFERROR(IF(AND(VLOOKUP(FB8,$NX$28:$NY$41,2,0)="Yes",NOT(ISNUMBER(VLOOKUP(DATE($B$4,$B$5+$B$3-1,FB7),HolidayList[Date],1,0)))),TRUE,FALSE),FALSE)</f>
        <v>0</v>
      </c>
      <c r="FC6" s="16" t="b">
        <f>IFERROR(IF(AND(VLOOKUP(FC8,$NX$28:$NY$41,2,0)="Yes",NOT(ISNUMBER(VLOOKUP(DATE($B$4,$B$5+$B$3-1,FC7),HolidayList[Date],1,0)))),TRUE,FALSE),FALSE)</f>
        <v>0</v>
      </c>
      <c r="FD6" s="16" t="b">
        <f>IFERROR(IF(AND(VLOOKUP(FD8,$NX$28:$NY$41,2,0)="Yes",NOT(ISNUMBER(VLOOKUP(DATE($B$4,$B$5+$B$3-1,FD7),HolidayList[Date],1,0)))),TRUE,FALSE),FALSE)</f>
        <v>0</v>
      </c>
      <c r="FE6" s="16" t="b">
        <f>IFERROR(IF(AND(VLOOKUP(FE8,$NX$28:$NY$41,2,0)="Yes",NOT(ISNUMBER(VLOOKUP(DATE($B$4,$B$5+$B$3-1,FE7),HolidayList[Date],1,0)))),TRUE,FALSE),FALSE)</f>
        <v>0</v>
      </c>
      <c r="FF6" s="16" t="b">
        <f>IFERROR(IF(AND(VLOOKUP(FF8,$NX$28:$NY$41,2,0)="Yes",NOT(ISNUMBER(VLOOKUP(DATE($B$4,$B$5+$B$3-1,FF7),HolidayList[Date],1,0)))),TRUE,FALSE),FALSE)</f>
        <v>0</v>
      </c>
      <c r="FG6" s="16" t="b">
        <f>IFERROR(IF(AND(VLOOKUP(FG8,$NX$28:$NY$41,2,0)="Yes",NOT(ISNUMBER(VLOOKUP(DATE($B$4,$B$5+$B$3-1,FG7),HolidayList[Date],1,0)))),TRUE,FALSE),FALSE)</f>
        <v>0</v>
      </c>
      <c r="FH6" s="16" t="b">
        <f>IFERROR(IF(AND(VLOOKUP(FH8,$NX$28:$NY$41,2,0)="Yes",NOT(ISNUMBER(VLOOKUP(DATE($B$4,$B$5+$B$3-1,FH7),HolidayList[Date],1,0)))),TRUE,FALSE),FALSE)</f>
        <v>0</v>
      </c>
      <c r="FI6" s="16" t="b">
        <f>IFERROR(IF(AND(VLOOKUP(FI8,$NX$28:$NY$41,2,0)="Yes",NOT(ISNUMBER(VLOOKUP(DATE($B$4,$B$5+$B$3-1,FI7),HolidayList[Date],1,0)))),TRUE,FALSE),FALSE)</f>
        <v>0</v>
      </c>
      <c r="FJ6" s="16" t="b">
        <f>IFERROR(IF(AND(VLOOKUP(FJ8,$NX$28:$NY$41,2,0)="Yes",NOT(ISNUMBER(VLOOKUP(DATE($B$4,$B$5+$B$3-1,FJ7),HolidayList[Date],1,0)))),TRUE,FALSE),FALSE)</f>
        <v>0</v>
      </c>
      <c r="FK6" s="16" t="b">
        <f>IFERROR(IF(AND(VLOOKUP(FK8,$NX$28:$NY$41,2,0)="Yes",NOT(ISNUMBER(VLOOKUP(DATE($B$4,$B$5+$B$3-1,FK7),HolidayList[Date],1,0)))),TRUE,FALSE),FALSE)</f>
        <v>0</v>
      </c>
      <c r="FL6" s="16" t="b">
        <f>IFERROR(IF(AND(VLOOKUP(FL8,$NX$28:$NY$41,2,0)="Yes",NOT(ISNUMBER(VLOOKUP(DATE($B$4,$B$5+$B$3-1,FL7),HolidayList[Date],1,0)))),TRUE,FALSE),FALSE)</f>
        <v>0</v>
      </c>
      <c r="FM6" s="16" t="b">
        <f>IFERROR(IF(AND(VLOOKUP(FM8,$NX$28:$NY$41,2,0)="Yes",NOT(ISNUMBER(VLOOKUP(DATE($B$4,$B$5+$B$3-1,FM7),HolidayList[Date],1,0)))),TRUE,FALSE),FALSE)</f>
        <v>0</v>
      </c>
      <c r="FN6" s="16" t="b">
        <f>IFERROR(IF(AND(VLOOKUP(FN8,$NX$28:$NY$41,2,0)="Yes",NOT(ISNUMBER(VLOOKUP(DATE($B$4,$B$5+$B$3-1,FN7),HolidayList[Date],1,0)))),TRUE,FALSE),FALSE)</f>
        <v>0</v>
      </c>
      <c r="FO6" s="16" t="b">
        <f>IFERROR(IF(AND(VLOOKUP(FO8,$NX$28:$NY$41,2,0)="Yes",NOT(ISNUMBER(VLOOKUP(DATE($B$4,$B$5+$B$3-1,FO7),HolidayList[Date],1,0)))),TRUE,FALSE),FALSE)</f>
        <v>0</v>
      </c>
      <c r="FP6" s="16" t="b">
        <f>IFERROR(IF(AND(VLOOKUP(FP8,$NX$28:$NY$41,2,0)="Yes",NOT(ISNUMBER(VLOOKUP(DATE($B$4,$B$5+$B$3-1,FP7),HolidayList[Date],1,0)))),TRUE,FALSE),FALSE)</f>
        <v>0</v>
      </c>
      <c r="FQ6" s="16" t="b">
        <f>IFERROR(IF(AND(VLOOKUP(FQ8,$NX$28:$NY$41,2,0)="Yes",NOT(ISNUMBER(VLOOKUP(DATE($B$4,$B$5+$B$3-1,FQ7),HolidayList[Date],1,0)))),TRUE,FALSE),FALSE)</f>
        <v>0</v>
      </c>
      <c r="FR6" s="16" t="b">
        <f>IFERROR(IF(AND(VLOOKUP(FR8,$NX$28:$NY$41,2,0)="Yes",NOT(ISNUMBER(VLOOKUP(DATE($B$4,$B$5+$B$3-1,FR7),HolidayList[Date],1,0)))),TRUE,FALSE),FALSE)</f>
        <v>0</v>
      </c>
      <c r="FS6" s="16" t="b">
        <f>IFERROR(IF(AND(VLOOKUP(FS8,$NX$28:$NY$41,2,0)="Yes",NOT(ISNUMBER(VLOOKUP(DATE($B$4,$B$5+$B$3-1,FS7),HolidayList[Date],1,0)))),TRUE,FALSE),FALSE)</f>
        <v>0</v>
      </c>
      <c r="FT6" s="16" t="b">
        <f>IFERROR(IF(AND(VLOOKUP(FT8,$NX$28:$NY$41,2,0)="Yes",NOT(ISNUMBER(VLOOKUP(DATE($B$4,$B$5+$B$3-1,FT7),HolidayList[Date],1,0)))),TRUE,FALSE),FALSE)</f>
        <v>0</v>
      </c>
      <c r="FU6" s="16" t="b">
        <f>IFERROR(IF(AND(VLOOKUP(FU8,$NX$28:$NY$41,2,0)="Yes",NOT(ISNUMBER(VLOOKUP(DATE($B$4,$B$5+$B$3-1,FU7),HolidayList[Date],1,0)))),TRUE,FALSE),FALSE)</f>
        <v>0</v>
      </c>
      <c r="FV6" s="16" t="b">
        <f>IFERROR(IF(AND(VLOOKUP(FV8,$NX$28:$NY$41,2,0)="Yes",NOT(ISNUMBER(VLOOKUP(DATE($B$4,$B$5+$B$3-1,FV7),HolidayList[Date],1,0)))),TRUE,FALSE),FALSE)</f>
        <v>0</v>
      </c>
      <c r="FW6" s="16" t="b">
        <f>IFERROR(IF(AND(VLOOKUP(FW8,$NX$28:$NY$41,2,0)="Yes",NOT(ISNUMBER(VLOOKUP(DATE($B$4,$B$5+$B$3-1,FW7),HolidayList[Date],1,0)))),TRUE,FALSE),FALSE)</f>
        <v>0</v>
      </c>
      <c r="FX6" s="16" t="b">
        <f>IFERROR(IF(AND(VLOOKUP(FX8,$NX$28:$NY$41,2,0)="Yes",NOT(ISNUMBER(VLOOKUP(DATE($B$4,$B$5+$B$3-1,FX7),HolidayList[Date],1,0)))),TRUE,FALSE),FALSE)</f>
        <v>0</v>
      </c>
      <c r="FY6" s="16" t="b">
        <f>IFERROR(IF(AND(VLOOKUP(FY8,$NX$28:$NY$41,2,0)="Yes",NOT(ISNUMBER(VLOOKUP(DATE($B$4,$B$5+$B$3-1,FY7),HolidayList[Date],1,0)))),TRUE,FALSE),FALSE)</f>
        <v>0</v>
      </c>
      <c r="FZ6" s="16" t="b">
        <f>IFERROR(IF(AND(VLOOKUP(FZ8,$NX$28:$NY$41,2,0)="Yes",NOT(ISNUMBER(VLOOKUP(DATE($B$4,$B$5+$B$3-1,FZ7),HolidayList[Date],1,0)))),TRUE,FALSE),FALSE)</f>
        <v>0</v>
      </c>
      <c r="GA6" s="16" t="b">
        <f>IFERROR(IF(AND(VLOOKUP(GA8,$NX$28:$NY$41,2,0)="Yes",NOT(ISNUMBER(VLOOKUP(DATE($B$4,$B$5+$B$3-1,GA7),HolidayList[Date],1,0)))),TRUE,FALSE),FALSE)</f>
        <v>0</v>
      </c>
      <c r="GB6" s="16" t="b">
        <f>IFERROR(IF(AND(VLOOKUP(GB8,$NX$28:$NY$41,2,0)="Yes",NOT(ISNUMBER(VLOOKUP(DATE($B$4,$B$5+$B$3-1,GB7),HolidayList[Date],1,0)))),TRUE,FALSE),FALSE)</f>
        <v>0</v>
      </c>
      <c r="GC6" s="16" t="b">
        <f>IFERROR(IF(AND(VLOOKUP(GC8,$NX$28:$NY$41,2,0)="Yes",NOT(ISNUMBER(VLOOKUP(DATE($B$4,$B$5+$B$3-1,GC7),HolidayList[Date],1,0)))),TRUE,FALSE),FALSE)</f>
        <v>0</v>
      </c>
      <c r="GD6" s="16" t="b">
        <f>IFERROR(IF(AND(VLOOKUP(GD8,$NX$28:$NY$41,2,0)="Yes",NOT(ISNUMBER(VLOOKUP(DATE($B$4,$B$5+$B$3-1,GD7),HolidayList[Date],1,0)))),TRUE,FALSE),FALSE)</f>
        <v>0</v>
      </c>
      <c r="GE6" s="16" t="b">
        <f>IFERROR(IF(AND(VLOOKUP(GE8,$NX$28:$NY$41,2,0)="Yes",NOT(ISNUMBER(VLOOKUP(DATE($B$4,$B$5+$B$3-1,GE7),HolidayList[Date],1,0)))),TRUE,FALSE),FALSE)</f>
        <v>0</v>
      </c>
      <c r="GF6" s="16" t="b">
        <f>IFERROR(IF(AND(VLOOKUP(GF8,$NX$28:$NY$41,2,0)="Yes",NOT(ISNUMBER(VLOOKUP(DATE($B$4,$B$5+$B$3-1,GF7),HolidayList[Date],1,0)))),TRUE,FALSE),FALSE)</f>
        <v>0</v>
      </c>
      <c r="GG6" s="16" t="b">
        <f>IFERROR(IF(AND(VLOOKUP(GG8,$NX$28:$NY$41,2,0)="Yes",NOT(ISNUMBER(VLOOKUP(DATE($B$4,$B$5+$B$3-1,GG7),HolidayList[Date],1,0)))),TRUE,FALSE),FALSE)</f>
        <v>0</v>
      </c>
      <c r="GH6" s="16" t="b">
        <f>IFERROR(IF(AND(VLOOKUP(GH8,$NX$28:$NY$41,2,0)="Yes",NOT(ISNUMBER(VLOOKUP(DATE($B$4,$B$5+$B$3-1,GH7),HolidayList[Date],1,0)))),TRUE,FALSE),FALSE)</f>
        <v>0</v>
      </c>
      <c r="GI6" s="16" t="b">
        <f>IFERROR(IF(AND(VLOOKUP(GI8,$NX$28:$NY$41,2,0)="Yes",NOT(ISNUMBER(VLOOKUP(DATE($B$4,$B$5+$B$3-1,GI7),HolidayList[Date],1,0)))),TRUE,FALSE),FALSE)</f>
        <v>0</v>
      </c>
      <c r="GJ6" s="16" t="b">
        <f>IFERROR(IF(AND(VLOOKUP(GJ8,$NX$28:$NY$41,2,0)="Yes",NOT(ISNUMBER(VLOOKUP(DATE($B$4,$B$5+$B$3-1,GJ7),HolidayList[Date],1,0)))),TRUE,FALSE),FALSE)</f>
        <v>0</v>
      </c>
      <c r="GK6" s="16" t="b">
        <f>IFERROR(IF(AND(VLOOKUP(GK8,$NX$28:$NY$41,2,0)="Yes",NOT(ISNUMBER(VLOOKUP(DATE($B$4,$B$5+$B$3-1,GK7),HolidayList[Date],1,0)))),TRUE,FALSE),FALSE)</f>
        <v>0</v>
      </c>
      <c r="GL6" s="16" t="b">
        <f>IFERROR(IF(AND(VLOOKUP(GL8,$NX$28:$NY$41,2,0)="Yes",NOT(ISNUMBER(VLOOKUP(DATE($B$4,$B$5+$B$3-1,GL7),HolidayList[Date],1,0)))),TRUE,FALSE),FALSE)</f>
        <v>0</v>
      </c>
      <c r="GM6" s="16" t="b">
        <f>IFERROR(IF(AND(VLOOKUP(GM8,$NX$28:$NY$41,2,0)="Yes",NOT(ISNUMBER(VLOOKUP(DATE($B$4,$B$5+$B$3-1,GM7),HolidayList[Date],1,0)))),TRUE,FALSE),FALSE)</f>
        <v>0</v>
      </c>
      <c r="GN6" s="16" t="b">
        <f>IFERROR(IF(AND(VLOOKUP(GN8,$NX$28:$NY$41,2,0)="Yes",NOT(ISNUMBER(VLOOKUP(DATE($B$4,$B$5+$B$3-1,GN7),HolidayList[Date],1,0)))),TRUE,FALSE),FALSE)</f>
        <v>0</v>
      </c>
      <c r="GO6" s="16" t="b">
        <f>IFERROR(IF(AND(VLOOKUP(GO8,$NX$28:$NY$41,2,0)="Yes",NOT(ISNUMBER(VLOOKUP(DATE($B$4,$B$5+$B$3-1,GO7),HolidayList[Date],1,0)))),TRUE,FALSE),FALSE)</f>
        <v>0</v>
      </c>
      <c r="GP6" s="16" t="b">
        <f>IFERROR(IF(AND(VLOOKUP(GP8,$NX$28:$NY$41,2,0)="Yes",NOT(ISNUMBER(VLOOKUP(DATE($B$4,$B$5+$B$3-1,GP7),HolidayList[Date],1,0)))),TRUE,FALSE),FALSE)</f>
        <v>0</v>
      </c>
      <c r="GQ6" s="16" t="b">
        <f>IFERROR(IF(AND(VLOOKUP(GQ8,$NX$28:$NY$41,2,0)="Yes",NOT(ISNUMBER(VLOOKUP(DATE($B$4,$B$5+$B$3-1,GQ7),HolidayList[Date],1,0)))),TRUE,FALSE),FALSE)</f>
        <v>0</v>
      </c>
      <c r="GR6" s="16" t="b">
        <f>IFERROR(IF(AND(VLOOKUP(GR8,$NX$28:$NY$41,2,0)="Yes",NOT(ISNUMBER(VLOOKUP(DATE($B$4,$B$5+$B$3-1,GR7),HolidayList[Date],1,0)))),TRUE,FALSE),FALSE)</f>
        <v>0</v>
      </c>
      <c r="GS6" s="16" t="b">
        <f>IFERROR(IF(AND(VLOOKUP(GS8,$NX$28:$NY$41,2,0)="Yes",NOT(ISNUMBER(VLOOKUP(DATE($B$4,$B$5+$B$3-1,GS7),HolidayList[Date],1,0)))),TRUE,FALSE),FALSE)</f>
        <v>0</v>
      </c>
      <c r="GT6" s="16" t="b">
        <f>IFERROR(IF(AND(VLOOKUP(GT8,$NX$28:$NY$41,2,0)="Yes",NOT(ISNUMBER(VLOOKUP(DATE($B$4,$B$5+$B$3-1,GT7),HolidayList[Date],1,0)))),TRUE,FALSE),FALSE)</f>
        <v>0</v>
      </c>
      <c r="GU6" s="16" t="b">
        <f>IFERROR(IF(AND(VLOOKUP(GU8,$NX$28:$NY$41,2,0)="Yes",NOT(ISNUMBER(VLOOKUP(DATE($B$4,$B$5+$B$3-1,GU7),HolidayList[Date],1,0)))),TRUE,FALSE),FALSE)</f>
        <v>0</v>
      </c>
      <c r="GV6" s="16" t="b">
        <f>IFERROR(IF(AND(VLOOKUP(GV8,$NX$28:$NY$41,2,0)="Yes",NOT(ISNUMBER(VLOOKUP(DATE($B$4,$B$5+$B$3-1,GV7),HolidayList[Date],1,0)))),TRUE,FALSE),FALSE)</f>
        <v>0</v>
      </c>
      <c r="GW6" s="16" t="b">
        <f>IFERROR(IF(AND(VLOOKUP(GW8,$NX$28:$NY$41,2,0)="Yes",NOT(ISNUMBER(VLOOKUP(DATE($B$4,$B$5+$B$3-1,GW7),HolidayList[Date],1,0)))),TRUE,FALSE),FALSE)</f>
        <v>0</v>
      </c>
      <c r="GX6" s="16" t="b">
        <f>IFERROR(IF(AND(VLOOKUP(GX8,$NX$28:$NY$41,2,0)="Yes",NOT(ISNUMBER(VLOOKUP(DATE($B$4,$B$5+$B$3-1,GX7),HolidayList[Date],1,0)))),TRUE,FALSE),FALSE)</f>
        <v>0</v>
      </c>
      <c r="GY6" s="16" t="b">
        <f>IFERROR(IF(AND(VLOOKUP(GY8,$NX$28:$NY$41,2,0)="Yes",NOT(ISNUMBER(VLOOKUP(DATE($B$4,$B$5+$B$3-1,GY7),HolidayList[Date],1,0)))),TRUE,FALSE),FALSE)</f>
        <v>0</v>
      </c>
      <c r="GZ6" s="16" t="b">
        <f>IFERROR(IF(AND(VLOOKUP(GZ8,$NX$28:$NY$41,2,0)="Yes",NOT(ISNUMBER(VLOOKUP(DATE($B$4,$B$5+$B$3-1,GZ7),HolidayList[Date],1,0)))),TRUE,FALSE),FALSE)</f>
        <v>0</v>
      </c>
      <c r="HA6" s="16" t="b">
        <f>IFERROR(IF(AND(VLOOKUP(HA8,$NX$28:$NY$41,2,0)="Yes",NOT(ISNUMBER(VLOOKUP(DATE($B$4,$B$5+$B$3-1,HA7),HolidayList[Date],1,0)))),TRUE,FALSE),FALSE)</f>
        <v>0</v>
      </c>
      <c r="HB6" s="16" t="b">
        <f>IFERROR(IF(AND(VLOOKUP(HB8,$NX$28:$NY$41,2,0)="Yes",NOT(ISNUMBER(VLOOKUP(DATE($B$4,$B$5+$B$3-1,HB7),HolidayList[Date],1,0)))),TRUE,FALSE),FALSE)</f>
        <v>0</v>
      </c>
      <c r="HC6" s="16" t="b">
        <f>IFERROR(IF(AND(VLOOKUP(HC8,$NX$28:$NY$41,2,0)="Yes",NOT(ISNUMBER(VLOOKUP(DATE($B$4,$B$5+$B$3-1,HC7),HolidayList[Date],1,0)))),TRUE,FALSE),FALSE)</f>
        <v>0</v>
      </c>
      <c r="HD6" s="16" t="b">
        <f>IFERROR(IF(AND(VLOOKUP(HD8,$NX$28:$NY$41,2,0)="Yes",NOT(ISNUMBER(VLOOKUP(DATE($B$4,$B$5+$B$3-1,HD7),HolidayList[Date],1,0)))),TRUE,FALSE),FALSE)</f>
        <v>0</v>
      </c>
      <c r="HE6" s="16" t="b">
        <f>IFERROR(IF(AND(VLOOKUP(HE8,$NX$28:$NY$41,2,0)="Yes",NOT(ISNUMBER(VLOOKUP(DATE($B$4,$B$5+$B$3-1,HE7),HolidayList[Date],1,0)))),TRUE,FALSE),FALSE)</f>
        <v>0</v>
      </c>
      <c r="HF6" s="16" t="b">
        <f>IFERROR(IF(AND(VLOOKUP(HF8,$NX$28:$NY$41,2,0)="Yes",NOT(ISNUMBER(VLOOKUP(DATE($B$4,$B$5+$B$3-1,HF7),HolidayList[Date],1,0)))),TRUE,FALSE),FALSE)</f>
        <v>0</v>
      </c>
      <c r="HG6" s="16" t="b">
        <f>IFERROR(IF(AND(VLOOKUP(HG8,$NX$28:$NY$41,2,0)="Yes",NOT(ISNUMBER(VLOOKUP(DATE($B$4,$B$5+$B$3-1,HG7),HolidayList[Date],1,0)))),TRUE,FALSE),FALSE)</f>
        <v>0</v>
      </c>
      <c r="HH6" s="16" t="b">
        <f>IFERROR(IF(AND(VLOOKUP(HH8,$NX$28:$NY$41,2,0)="Yes",NOT(ISNUMBER(VLOOKUP(DATE($B$4,$B$5+$B$3-1,HH7),HolidayList[Date],1,0)))),TRUE,FALSE),FALSE)</f>
        <v>0</v>
      </c>
      <c r="HI6" s="16" t="b">
        <f>IFERROR(IF(AND(VLOOKUP(HI8,$NX$28:$NY$41,2,0)="Yes",NOT(ISNUMBER(VLOOKUP(DATE($B$4,$B$5+$B$3-1,HI7),HolidayList[Date],1,0)))),TRUE,FALSE),FALSE)</f>
        <v>0</v>
      </c>
      <c r="HJ6" s="16" t="b">
        <f>IFERROR(IF(AND(VLOOKUP(HJ8,$NX$28:$NY$41,2,0)="Yes",NOT(ISNUMBER(VLOOKUP(DATE($B$4,$B$5+$B$3-1,HJ7),HolidayList[Date],1,0)))),TRUE,FALSE),FALSE)</f>
        <v>0</v>
      </c>
      <c r="HK6" s="16" t="b">
        <f>IFERROR(IF(AND(VLOOKUP(HK8,$NX$28:$NY$41,2,0)="Yes",NOT(ISNUMBER(VLOOKUP(DATE($B$4,$B$5+$B$3-1,HK7),HolidayList[Date],1,0)))),TRUE,FALSE),FALSE)</f>
        <v>0</v>
      </c>
      <c r="HL6" s="16" t="b">
        <f>IFERROR(IF(AND(VLOOKUP(HL8,$NX$28:$NY$41,2,0)="Yes",NOT(ISNUMBER(VLOOKUP(DATE($B$4,$B$5+$B$3-1,HL7),HolidayList[Date],1,0)))),TRUE,FALSE),FALSE)</f>
        <v>0</v>
      </c>
      <c r="HM6" s="16" t="b">
        <f>IFERROR(IF(AND(VLOOKUP(HM8,$NX$28:$NY$41,2,0)="Yes",NOT(ISNUMBER(VLOOKUP(DATE($B$4,$B$5+$B$3-1,HM7),HolidayList[Date],1,0)))),TRUE,FALSE),FALSE)</f>
        <v>0</v>
      </c>
      <c r="HN6" s="16" t="b">
        <f>IFERROR(IF(AND(VLOOKUP(HN8,$NX$28:$NY$41,2,0)="Yes",NOT(ISNUMBER(VLOOKUP(DATE($B$4,$B$5+$B$3-1,HN7),HolidayList[Date],1,0)))),TRUE,FALSE),FALSE)</f>
        <v>0</v>
      </c>
      <c r="HO6" s="16" t="b">
        <f>IFERROR(IF(AND(VLOOKUP(HO8,$NX$28:$NY$41,2,0)="Yes",NOT(ISNUMBER(VLOOKUP(DATE($B$4,$B$5+$B$3-1,HO7),HolidayList[Date],1,0)))),TRUE,FALSE),FALSE)</f>
        <v>0</v>
      </c>
      <c r="HP6" s="16" t="b">
        <f>IFERROR(IF(AND(VLOOKUP(HP8,$NX$28:$NY$41,2,0)="Yes",NOT(ISNUMBER(VLOOKUP(DATE($B$4,$B$5+$B$3-1,HP7),HolidayList[Date],1,0)))),TRUE,FALSE),FALSE)</f>
        <v>0</v>
      </c>
      <c r="HQ6" s="16" t="b">
        <f>IFERROR(IF(AND(VLOOKUP(HQ8,$NX$28:$NY$41,2,0)="Yes",NOT(ISNUMBER(VLOOKUP(DATE($B$4,$B$5+$B$3-1,HQ7),HolidayList[Date],1,0)))),TRUE,FALSE),FALSE)</f>
        <v>0</v>
      </c>
      <c r="HR6" s="16" t="b">
        <f>IFERROR(IF(AND(VLOOKUP(HR8,$NX$28:$NY$41,2,0)="Yes",NOT(ISNUMBER(VLOOKUP(DATE($B$4,$B$5+$B$3-1,HR7),HolidayList[Date],1,0)))),TRUE,FALSE),FALSE)</f>
        <v>0</v>
      </c>
      <c r="HS6" s="16" t="b">
        <f>IFERROR(IF(AND(VLOOKUP(HS8,$NX$28:$NY$41,2,0)="Yes",NOT(ISNUMBER(VLOOKUP(DATE($B$4,$B$5+$B$3-1,HS7),HolidayList[Date],1,0)))),TRUE,FALSE),FALSE)</f>
        <v>0</v>
      </c>
      <c r="HT6" s="16" t="b">
        <f>IFERROR(IF(AND(VLOOKUP(HT8,$NX$28:$NY$41,2,0)="Yes",NOT(ISNUMBER(VLOOKUP(DATE($B$4,$B$5+$B$3-1,HT7),HolidayList[Date],1,0)))),TRUE,FALSE),FALSE)</f>
        <v>0</v>
      </c>
      <c r="HU6" s="16" t="b">
        <f>IFERROR(IF(AND(VLOOKUP(HU8,$NX$28:$NY$41,2,0)="Yes",NOT(ISNUMBER(VLOOKUP(DATE($B$4,$B$5+$B$3-1,HU7),HolidayList[Date],1,0)))),TRUE,FALSE),FALSE)</f>
        <v>0</v>
      </c>
      <c r="HV6" s="16" t="b">
        <f>IFERROR(IF(AND(VLOOKUP(HV8,$NX$28:$NY$41,2,0)="Yes",NOT(ISNUMBER(VLOOKUP(DATE($B$4,$B$5+$B$3-1,HV7),HolidayList[Date],1,0)))),TRUE,FALSE),FALSE)</f>
        <v>0</v>
      </c>
      <c r="HW6" s="16" t="b">
        <f>IFERROR(IF(AND(VLOOKUP(HW8,$NX$28:$NY$41,2,0)="Yes",NOT(ISNUMBER(VLOOKUP(DATE($B$4,$B$5+$B$3-1,HW7),HolidayList[Date],1,0)))),TRUE,FALSE),FALSE)</f>
        <v>0</v>
      </c>
      <c r="HX6" s="16" t="b">
        <f>IFERROR(IF(AND(VLOOKUP(HX8,$NX$28:$NY$41,2,0)="Yes",NOT(ISNUMBER(VLOOKUP(DATE($B$4,$B$5+$B$3-1,HX7),HolidayList[Date],1,0)))),TRUE,FALSE),FALSE)</f>
        <v>0</v>
      </c>
      <c r="HY6" s="16" t="b">
        <f>IFERROR(IF(AND(VLOOKUP(HY8,$NX$28:$NY$41,2,0)="Yes",NOT(ISNUMBER(VLOOKUP(DATE($B$4,$B$5+$B$3-1,HY7),HolidayList[Date],1,0)))),TRUE,FALSE),FALSE)</f>
        <v>0</v>
      </c>
      <c r="HZ6" s="16" t="b">
        <f>IFERROR(IF(AND(VLOOKUP(HZ8,$NX$28:$NY$41,2,0)="Yes",NOT(ISNUMBER(VLOOKUP(DATE($B$4,$B$5+$B$3-1,HZ7),HolidayList[Date],1,0)))),TRUE,FALSE),FALSE)</f>
        <v>0</v>
      </c>
      <c r="IA6" s="16" t="b">
        <f>IFERROR(IF(AND(VLOOKUP(IA8,$NX$28:$NY$41,2,0)="Yes",NOT(ISNUMBER(VLOOKUP(DATE($B$4,$B$5+$B$3-1,IA7),HolidayList[Date],1,0)))),TRUE,FALSE),FALSE)</f>
        <v>0</v>
      </c>
      <c r="IB6" s="16" t="b">
        <f>IFERROR(IF(AND(VLOOKUP(IB8,$NX$28:$NY$41,2,0)="Yes",NOT(ISNUMBER(VLOOKUP(DATE($B$4,$B$5+$B$3-1,IB7),HolidayList[Date],1,0)))),TRUE,FALSE),FALSE)</f>
        <v>0</v>
      </c>
      <c r="IC6" s="16" t="b">
        <f>IFERROR(IF(AND(VLOOKUP(IC8,$NX$28:$NY$41,2,0)="Yes",NOT(ISNUMBER(VLOOKUP(DATE($B$4,$B$5+$B$3-1,IC7),HolidayList[Date],1,0)))),TRUE,FALSE),FALSE)</f>
        <v>0</v>
      </c>
      <c r="ID6" s="16" t="b">
        <f>IFERROR(IF(AND(VLOOKUP(ID8,$NX$28:$NY$41,2,0)="Yes",NOT(ISNUMBER(VLOOKUP(DATE($B$4,$B$5+$B$3-1,ID7),HolidayList[Date],1,0)))),TRUE,FALSE),FALSE)</f>
        <v>0</v>
      </c>
      <c r="IE6" s="16" t="b">
        <f>IFERROR(IF(AND(VLOOKUP(IE8,$NX$28:$NY$41,2,0)="Yes",NOT(ISNUMBER(VLOOKUP(DATE($B$4,$B$5+$B$3-1,IE7),HolidayList[Date],1,0)))),TRUE,FALSE),FALSE)</f>
        <v>0</v>
      </c>
      <c r="IF6" s="16" t="b">
        <f>IFERROR(IF(AND(VLOOKUP(IF8,$NX$28:$NY$41,2,0)="Yes",NOT(ISNUMBER(VLOOKUP(DATE($B$4,$B$5+$B$3-1,IF7),HolidayList[Date],1,0)))),TRUE,FALSE),FALSE)</f>
        <v>0</v>
      </c>
      <c r="IG6" s="16" t="b">
        <f>IFERROR(IF(AND(VLOOKUP(IG8,$NX$28:$NY$41,2,0)="Yes",NOT(ISNUMBER(VLOOKUP(DATE($B$4,$B$5+$B$3-1,IG7),HolidayList[Date],1,0)))),TRUE,FALSE),FALSE)</f>
        <v>0</v>
      </c>
      <c r="IH6" s="16" t="b">
        <f>IFERROR(IF(AND(VLOOKUP(IH8,$NX$28:$NY$41,2,0)="Yes",NOT(ISNUMBER(VLOOKUP(DATE($B$4,$B$5+$B$3-1,IH7),HolidayList[Date],1,0)))),TRUE,FALSE),FALSE)</f>
        <v>0</v>
      </c>
      <c r="II6" s="16" t="b">
        <f>IFERROR(IF(AND(VLOOKUP(II8,$NX$28:$NY$41,2,0)="Yes",NOT(ISNUMBER(VLOOKUP(DATE($B$4,$B$5+$B$3-1,II7),HolidayList[Date],1,0)))),TRUE,FALSE),FALSE)</f>
        <v>0</v>
      </c>
      <c r="IJ6" s="16" t="b">
        <f>IFERROR(IF(AND(VLOOKUP(IJ8,$NX$28:$NY$41,2,0)="Yes",NOT(ISNUMBER(VLOOKUP(DATE($B$4,$B$5+$B$3-1,IJ7),HolidayList[Date],1,0)))),TRUE,FALSE),FALSE)</f>
        <v>0</v>
      </c>
      <c r="IK6" s="16" t="b">
        <f>IFERROR(IF(AND(VLOOKUP(IK8,$NX$28:$NY$41,2,0)="Yes",NOT(ISNUMBER(VLOOKUP(DATE($B$4,$B$5+$B$3-1,IK7),HolidayList[Date],1,0)))),TRUE,FALSE),FALSE)</f>
        <v>0</v>
      </c>
      <c r="IL6" s="16" t="b">
        <f>IFERROR(IF(AND(VLOOKUP(IL8,$NX$28:$NY$41,2,0)="Yes",NOT(ISNUMBER(VLOOKUP(DATE($B$4,$B$5+$B$3-1,IL7),HolidayList[Date],1,0)))),TRUE,FALSE),FALSE)</f>
        <v>0</v>
      </c>
      <c r="IM6" s="16" t="b">
        <f>IFERROR(IF(AND(VLOOKUP(IM8,$NX$28:$NY$41,2,0)="Yes",NOT(ISNUMBER(VLOOKUP(DATE($B$4,$B$5+$B$3-1,IM7),HolidayList[Date],1,0)))),TRUE,FALSE),FALSE)</f>
        <v>0</v>
      </c>
      <c r="IN6" s="16" t="b">
        <f>IFERROR(IF(AND(VLOOKUP(IN8,$NX$28:$NY$41,2,0)="Yes",NOT(ISNUMBER(VLOOKUP(DATE($B$4,$B$5+$B$3-1,IN7),HolidayList[Date],1,0)))),TRUE,FALSE),FALSE)</f>
        <v>0</v>
      </c>
      <c r="IO6" s="16" t="b">
        <f>IFERROR(IF(AND(VLOOKUP(IO8,$NX$28:$NY$41,2,0)="Yes",NOT(ISNUMBER(VLOOKUP(DATE($B$4,$B$5+$B$3-1,IO7),HolidayList[Date],1,0)))),TRUE,FALSE),FALSE)</f>
        <v>0</v>
      </c>
      <c r="IP6" s="16" t="b">
        <f>IFERROR(IF(AND(VLOOKUP(IP8,$NX$28:$NY$41,2,0)="Yes",NOT(ISNUMBER(VLOOKUP(DATE($B$4,$B$5+$B$3-1,IP7),HolidayList[Date],1,0)))),TRUE,FALSE),FALSE)</f>
        <v>0</v>
      </c>
      <c r="IQ6" s="16" t="b">
        <f>IFERROR(IF(AND(VLOOKUP(IQ8,$NX$28:$NY$41,2,0)="Yes",NOT(ISNUMBER(VLOOKUP(DATE($B$4,$B$5+$B$3-1,IQ7),HolidayList[Date],1,0)))),TRUE,FALSE),FALSE)</f>
        <v>0</v>
      </c>
      <c r="IR6" s="16" t="b">
        <f>IFERROR(IF(AND(VLOOKUP(IR8,$NX$28:$NY$41,2,0)="Yes",NOT(ISNUMBER(VLOOKUP(DATE($B$4,$B$5+$B$3-1,IR7),HolidayList[Date],1,0)))),TRUE,FALSE),FALSE)</f>
        <v>0</v>
      </c>
      <c r="IS6" s="16" t="b">
        <f>IFERROR(IF(AND(VLOOKUP(IS8,$NX$28:$NY$41,2,0)="Yes",NOT(ISNUMBER(VLOOKUP(DATE($B$4,$B$5+$B$3-1,IS7),HolidayList[Date],1,0)))),TRUE,FALSE),FALSE)</f>
        <v>0</v>
      </c>
      <c r="IT6" s="16" t="b">
        <f>IFERROR(IF(AND(VLOOKUP(IT8,$NX$28:$NY$41,2,0)="Yes",NOT(ISNUMBER(VLOOKUP(DATE($B$4,$B$5+$B$3-1,IT7),HolidayList[Date],1,0)))),TRUE,FALSE),FALSE)</f>
        <v>0</v>
      </c>
      <c r="IU6" s="16" t="b">
        <f>IFERROR(IF(AND(VLOOKUP(IU8,$NX$28:$NY$41,2,0)="Yes",NOT(ISNUMBER(VLOOKUP(DATE($B$4,$B$5+$B$3-1,IU7),HolidayList[Date],1,0)))),TRUE,FALSE),FALSE)</f>
        <v>0</v>
      </c>
      <c r="IV6" s="16" t="b">
        <f>IFERROR(IF(AND(VLOOKUP(IV8,$NX$28:$NY$41,2,0)="Yes",NOT(ISNUMBER(VLOOKUP(DATE($B$4,$B$5+$B$3-1,IV7),HolidayList[Date],1,0)))),TRUE,FALSE),FALSE)</f>
        <v>0</v>
      </c>
      <c r="IW6" s="16" t="b">
        <f>IFERROR(IF(AND(VLOOKUP(IW8,$NX$28:$NY$41,2,0)="Yes",NOT(ISNUMBER(VLOOKUP(DATE($B$4,$B$5+$B$3-1,IW7),HolidayList[Date],1,0)))),TRUE,FALSE),FALSE)</f>
        <v>0</v>
      </c>
      <c r="IX6" s="16" t="b">
        <f>IFERROR(IF(AND(VLOOKUP(IX8,$NX$28:$NY$41,2,0)="Yes",NOT(ISNUMBER(VLOOKUP(DATE($B$4,$B$5+$B$3-1,IX7),HolidayList[Date],1,0)))),TRUE,FALSE),FALSE)</f>
        <v>0</v>
      </c>
      <c r="IY6" s="16" t="b">
        <f>IFERROR(IF(AND(VLOOKUP(IY8,$NX$28:$NY$41,2,0)="Yes",NOT(ISNUMBER(VLOOKUP(DATE($B$4,$B$5+$B$3-1,IY7),HolidayList[Date],1,0)))),TRUE,FALSE),FALSE)</f>
        <v>0</v>
      </c>
      <c r="IZ6" s="16" t="b">
        <f>IFERROR(IF(AND(VLOOKUP(IZ8,$NX$28:$NY$41,2,0)="Yes",NOT(ISNUMBER(VLOOKUP(DATE($B$4,$B$5+$B$3-1,IZ7),HolidayList[Date],1,0)))),TRUE,FALSE),FALSE)</f>
        <v>0</v>
      </c>
      <c r="JA6" s="16" t="b">
        <f>IFERROR(IF(AND(VLOOKUP(JA8,$NX$28:$NY$41,2,0)="Yes",NOT(ISNUMBER(VLOOKUP(DATE($B$4,$B$5+$B$3-1,JA7),HolidayList[Date],1,0)))),TRUE,FALSE),FALSE)</f>
        <v>0</v>
      </c>
      <c r="JB6" s="16" t="b">
        <f>IFERROR(IF(AND(VLOOKUP(JB8,$NX$28:$NY$41,2,0)="Yes",NOT(ISNUMBER(VLOOKUP(DATE($B$4,$B$5+$B$3-1,JB7),HolidayList[Date],1,0)))),TRUE,FALSE),FALSE)</f>
        <v>0</v>
      </c>
      <c r="JC6" s="16" t="b">
        <f>IFERROR(IF(AND(VLOOKUP(JC8,$NX$28:$NY$41,2,0)="Yes",NOT(ISNUMBER(VLOOKUP(DATE($B$4,$B$5+$B$3-1,JC7),HolidayList[Date],1,0)))),TRUE,FALSE),FALSE)</f>
        <v>0</v>
      </c>
      <c r="JD6" s="16" t="b">
        <f>IFERROR(IF(AND(VLOOKUP(JD8,$NX$28:$NY$41,2,0)="Yes",NOT(ISNUMBER(VLOOKUP(DATE($B$4,$B$5+$B$3-1,JD7),HolidayList[Date],1,0)))),TRUE,FALSE),FALSE)</f>
        <v>0</v>
      </c>
      <c r="JE6" s="16" t="b">
        <f>IFERROR(IF(AND(VLOOKUP(JE8,$NX$28:$NY$41,2,0)="Yes",NOT(ISNUMBER(VLOOKUP(DATE($B$4,$B$5+$B$3-1,JE7),HolidayList[Date],1,0)))),TRUE,FALSE),FALSE)</f>
        <v>0</v>
      </c>
      <c r="JF6" s="16" t="b">
        <f>IFERROR(IF(AND(VLOOKUP(JF8,$NX$28:$NY$41,2,0)="Yes",NOT(ISNUMBER(VLOOKUP(DATE($B$4,$B$5+$B$3-1,JF7),HolidayList[Date],1,0)))),TRUE,FALSE),FALSE)</f>
        <v>0</v>
      </c>
      <c r="JG6" s="16" t="b">
        <f>IFERROR(IF(AND(VLOOKUP(JG8,$NX$28:$NY$41,2,0)="Yes",NOT(ISNUMBER(VLOOKUP(DATE($B$4,$B$5+$B$3-1,JG7),HolidayList[Date],1,0)))),TRUE,FALSE),FALSE)</f>
        <v>0</v>
      </c>
      <c r="JH6" s="16" t="b">
        <f>IFERROR(IF(AND(VLOOKUP(JH8,$NX$28:$NY$41,2,0)="Yes",NOT(ISNUMBER(VLOOKUP(DATE($B$4,$B$5+$B$3-1,JH7),HolidayList[Date],1,0)))),TRUE,FALSE),FALSE)</f>
        <v>0</v>
      </c>
      <c r="JI6" s="16" t="b">
        <f>IFERROR(IF(AND(VLOOKUP(JI8,$NX$28:$NY$41,2,0)="Yes",NOT(ISNUMBER(VLOOKUP(DATE($B$4,$B$5+$B$3-1,JI7),HolidayList[Date],1,0)))),TRUE,FALSE),FALSE)</f>
        <v>0</v>
      </c>
      <c r="JJ6" s="16" t="b">
        <f>IFERROR(IF(AND(VLOOKUP(JJ8,$NX$28:$NY$41,2,0)="Yes",NOT(ISNUMBER(VLOOKUP(DATE($B$4,$B$5+$B$3-1,JJ7),HolidayList[Date],1,0)))),TRUE,FALSE),FALSE)</f>
        <v>0</v>
      </c>
      <c r="JK6" s="16" t="b">
        <f>IFERROR(IF(AND(VLOOKUP(JK8,$NX$28:$NY$41,2,0)="Yes",NOT(ISNUMBER(VLOOKUP(DATE($B$4,$B$5+$B$3-1,JK7),HolidayList[Date],1,0)))),TRUE,FALSE),FALSE)</f>
        <v>0</v>
      </c>
      <c r="JL6" s="16" t="b">
        <f>IFERROR(IF(AND(VLOOKUP(JL8,$NX$28:$NY$41,2,0)="Yes",NOT(ISNUMBER(VLOOKUP(DATE($B$4,$B$5+$B$3-1,JL7),HolidayList[Date],1,0)))),TRUE,FALSE),FALSE)</f>
        <v>0</v>
      </c>
      <c r="JM6" s="16" t="b">
        <f>IFERROR(IF(AND(VLOOKUP(JM8,$NX$28:$NY$41,2,0)="Yes",NOT(ISNUMBER(VLOOKUP(DATE($B$4,$B$5+$B$3-1,JM7),HolidayList[Date],1,0)))),TRUE,FALSE),FALSE)</f>
        <v>0</v>
      </c>
      <c r="JN6" s="16" t="b">
        <f>IFERROR(IF(AND(VLOOKUP(JN8,$NX$28:$NY$41,2,0)="Yes",NOT(ISNUMBER(VLOOKUP(DATE($B$4,$B$5+$B$3-1,JN7),HolidayList[Date],1,0)))),TRUE,FALSE),FALSE)</f>
        <v>0</v>
      </c>
      <c r="JO6" s="16" t="b">
        <f>IFERROR(IF(AND(VLOOKUP(JO8,$NX$28:$NY$41,2,0)="Yes",NOT(ISNUMBER(VLOOKUP(DATE($B$4,$B$5+$B$3-1,JO7),HolidayList[Date],1,0)))),TRUE,FALSE),FALSE)</f>
        <v>0</v>
      </c>
      <c r="JP6" s="16" t="b">
        <f>IFERROR(IF(AND(VLOOKUP(JP8,$NX$28:$NY$41,2,0)="Yes",NOT(ISNUMBER(VLOOKUP(DATE($B$4,$B$5+$B$3-1,JP7),HolidayList[Date],1,0)))),TRUE,FALSE),FALSE)</f>
        <v>0</v>
      </c>
      <c r="JQ6" s="16" t="b">
        <f>IFERROR(IF(AND(VLOOKUP(JQ8,$NX$28:$NY$41,2,0)="Yes",NOT(ISNUMBER(VLOOKUP(DATE($B$4,$B$5+$B$3-1,JQ7),HolidayList[Date],1,0)))),TRUE,FALSE),FALSE)</f>
        <v>0</v>
      </c>
      <c r="JR6" s="16" t="b">
        <f>IFERROR(IF(AND(VLOOKUP(JR8,$NX$28:$NY$41,2,0)="Yes",NOT(ISNUMBER(VLOOKUP(DATE($B$4,$B$5+$B$3-1,JR7),HolidayList[Date],1,0)))),TRUE,FALSE),FALSE)</f>
        <v>0</v>
      </c>
      <c r="JS6" s="16" t="b">
        <f>IFERROR(IF(AND(VLOOKUP(JS8,$NX$28:$NY$41,2,0)="Yes",NOT(ISNUMBER(VLOOKUP(DATE($B$4,$B$5+$B$3-1,JS7),HolidayList[Date],1,0)))),TRUE,FALSE),FALSE)</f>
        <v>0</v>
      </c>
      <c r="JT6" s="16" t="b">
        <f>IFERROR(IF(AND(VLOOKUP(JT8,$NX$28:$NY$41,2,0)="Yes",NOT(ISNUMBER(VLOOKUP(DATE($B$4,$B$5+$B$3-1,JT7),HolidayList[Date],1,0)))),TRUE,FALSE),FALSE)</f>
        <v>0</v>
      </c>
      <c r="JU6" s="16" t="b">
        <f>IFERROR(IF(AND(VLOOKUP(JU8,$NX$28:$NY$41,2,0)="Yes",NOT(ISNUMBER(VLOOKUP(DATE($B$4,$B$5+$B$3-1,JU7),HolidayList[Date],1,0)))),TRUE,FALSE),FALSE)</f>
        <v>0</v>
      </c>
      <c r="JV6" s="16" t="b">
        <f>IFERROR(IF(AND(VLOOKUP(JV8,$NX$28:$NY$41,2,0)="Yes",NOT(ISNUMBER(VLOOKUP(DATE($B$4,$B$5+$B$3-1,JV7),HolidayList[Date],1,0)))),TRUE,FALSE),FALSE)</f>
        <v>0</v>
      </c>
      <c r="JW6" s="16" t="b">
        <f>IFERROR(IF(AND(VLOOKUP(JW8,$NX$28:$NY$41,2,0)="Yes",NOT(ISNUMBER(VLOOKUP(DATE($B$4,$B$5+$B$3-1,JW7),HolidayList[Date],1,0)))),TRUE,FALSE),FALSE)</f>
        <v>0</v>
      </c>
      <c r="JX6" s="16" t="b">
        <f>IFERROR(IF(AND(VLOOKUP(JX8,$NX$28:$NY$41,2,0)="Yes",NOT(ISNUMBER(VLOOKUP(DATE($B$4,$B$5+$B$3-1,JX7),HolidayList[Date],1,0)))),TRUE,FALSE),FALSE)</f>
        <v>0</v>
      </c>
      <c r="JY6" s="16" t="b">
        <f>IFERROR(IF(AND(VLOOKUP(JY8,$NX$28:$NY$41,2,0)="Yes",NOT(ISNUMBER(VLOOKUP(DATE($B$4,$B$5+$B$3-1,JY7),HolidayList[Date],1,0)))),TRUE,FALSE),FALSE)</f>
        <v>0</v>
      </c>
      <c r="JZ6" s="16" t="b">
        <f>IFERROR(IF(AND(VLOOKUP(JZ8,$NX$28:$NY$41,2,0)="Yes",NOT(ISNUMBER(VLOOKUP(DATE($B$4,$B$5+$B$3-1,JZ7),HolidayList[Date],1,0)))),TRUE,FALSE),FALSE)</f>
        <v>0</v>
      </c>
      <c r="KA6" s="16" t="b">
        <f>IFERROR(IF(AND(VLOOKUP(KA8,$NX$28:$NY$41,2,0)="Yes",NOT(ISNUMBER(VLOOKUP(DATE($B$4,$B$5+$B$3-1,KA7),HolidayList[Date],1,0)))),TRUE,FALSE),FALSE)</f>
        <v>0</v>
      </c>
      <c r="KB6" s="16" t="b">
        <f>IFERROR(IF(AND(VLOOKUP(KB8,$NX$28:$NY$41,2,0)="Yes",NOT(ISNUMBER(VLOOKUP(DATE($B$4,$B$5+$B$3-1,KB7),HolidayList[Date],1,0)))),TRUE,FALSE),FALSE)</f>
        <v>0</v>
      </c>
      <c r="KC6" s="16" t="b">
        <f>IFERROR(IF(AND(VLOOKUP(KC8,$NX$28:$NY$41,2,0)="Yes",NOT(ISNUMBER(VLOOKUP(DATE($B$4,$B$5+$B$3-1,KC7),HolidayList[Date],1,0)))),TRUE,FALSE),FALSE)</f>
        <v>0</v>
      </c>
      <c r="KD6" s="16" t="b">
        <f>IFERROR(IF(AND(VLOOKUP(KD8,$NX$28:$NY$41,2,0)="Yes",NOT(ISNUMBER(VLOOKUP(DATE($B$4,$B$5+$B$3-1,KD7),HolidayList[Date],1,0)))),TRUE,FALSE),FALSE)</f>
        <v>0</v>
      </c>
      <c r="KE6" s="16" t="b">
        <f>IFERROR(IF(AND(VLOOKUP(KE8,$NX$28:$NY$41,2,0)="Yes",NOT(ISNUMBER(VLOOKUP(DATE($B$4,$B$5+$B$3-1,KE7),HolidayList[Date],1,0)))),TRUE,FALSE),FALSE)</f>
        <v>0</v>
      </c>
      <c r="KF6" s="16" t="b">
        <f>IFERROR(IF(AND(VLOOKUP(KF8,$NX$28:$NY$41,2,0)="Yes",NOT(ISNUMBER(VLOOKUP(DATE($B$4,$B$5+$B$3-1,KF7),HolidayList[Date],1,0)))),TRUE,FALSE),FALSE)</f>
        <v>0</v>
      </c>
      <c r="KG6" s="16" t="b">
        <f>IFERROR(IF(AND(VLOOKUP(KG8,$NX$28:$NY$41,2,0)="Yes",NOT(ISNUMBER(VLOOKUP(DATE($B$4,$B$5+$B$3-1,KG7),HolidayList[Date],1,0)))),TRUE,FALSE),FALSE)</f>
        <v>0</v>
      </c>
      <c r="KH6" s="16" t="b">
        <f>IFERROR(IF(AND(VLOOKUP(KH8,$NX$28:$NY$41,2,0)="Yes",NOT(ISNUMBER(VLOOKUP(DATE($B$4,$B$5+$B$3-1,KH7),HolidayList[Date],1,0)))),TRUE,FALSE),FALSE)</f>
        <v>0</v>
      </c>
      <c r="KI6" s="16" t="b">
        <f>IFERROR(IF(AND(VLOOKUP(KI8,$NX$28:$NY$41,2,0)="Yes",NOT(ISNUMBER(VLOOKUP(DATE($B$4,$B$5+$B$3-1,KI7),HolidayList[Date],1,0)))),TRUE,FALSE),FALSE)</f>
        <v>0</v>
      </c>
      <c r="KJ6" s="16" t="b">
        <f>IFERROR(IF(AND(VLOOKUP(KJ8,$NX$28:$NY$41,2,0)="Yes",NOT(ISNUMBER(VLOOKUP(DATE($B$4,$B$5+$B$3-1,KJ7),HolidayList[Date],1,0)))),TRUE,FALSE),FALSE)</f>
        <v>0</v>
      </c>
      <c r="KK6" s="16" t="b">
        <f>IFERROR(IF(AND(VLOOKUP(KK8,$NX$28:$NY$41,2,0)="Yes",NOT(ISNUMBER(VLOOKUP(DATE($B$4,$B$5+$B$3-1,KK7),HolidayList[Date],1,0)))),TRUE,FALSE),FALSE)</f>
        <v>0</v>
      </c>
      <c r="KL6" s="16" t="b">
        <f>IFERROR(IF(AND(VLOOKUP(KL8,$NX$28:$NY$41,2,0)="Yes",NOT(ISNUMBER(VLOOKUP(DATE($B$4,$B$5+$B$3-1,KL7),HolidayList[Date],1,0)))),TRUE,FALSE),FALSE)</f>
        <v>0</v>
      </c>
      <c r="KM6" s="16" t="b">
        <f>IFERROR(IF(AND(VLOOKUP(KM8,$NX$28:$NY$41,2,0)="Yes",NOT(ISNUMBER(VLOOKUP(DATE($B$4,$B$5+$B$3-1,KM7),HolidayList[Date],1,0)))),TRUE,FALSE),FALSE)</f>
        <v>0</v>
      </c>
      <c r="KN6" s="16" t="b">
        <f>IFERROR(IF(AND(VLOOKUP(KN8,$NX$28:$NY$41,2,0)="Yes",NOT(ISNUMBER(VLOOKUP(DATE($B$4,$B$5+$B$3-1,KN7),HolidayList[Date],1,0)))),TRUE,FALSE),FALSE)</f>
        <v>0</v>
      </c>
      <c r="KO6" s="16" t="b">
        <f>IFERROR(IF(AND(VLOOKUP(KO8,$NX$28:$NY$41,2,0)="Yes",NOT(ISNUMBER(VLOOKUP(DATE($B$4,$B$5+$B$3-1,KO7),HolidayList[Date],1,0)))),TRUE,FALSE),FALSE)</f>
        <v>0</v>
      </c>
      <c r="KP6" s="16" t="b">
        <f>IFERROR(IF(AND(VLOOKUP(KP8,$NX$28:$NY$41,2,0)="Yes",NOT(ISNUMBER(VLOOKUP(DATE($B$4,$B$5+$B$3-1,KP7),HolidayList[Date],1,0)))),TRUE,FALSE),FALSE)</f>
        <v>0</v>
      </c>
      <c r="KQ6" s="16" t="b">
        <f>IFERROR(IF(AND(VLOOKUP(KQ8,$NX$28:$NY$41,2,0)="Yes",NOT(ISNUMBER(VLOOKUP(DATE($B$4,$B$5+$B$3-1,KQ7),HolidayList[Date],1,0)))),TRUE,FALSE),FALSE)</f>
        <v>0</v>
      </c>
      <c r="KR6" s="16" t="b">
        <f>IFERROR(IF(AND(VLOOKUP(KR8,$NX$28:$NY$41,2,0)="Yes",NOT(ISNUMBER(VLOOKUP(DATE($B$4,$B$5+$B$3-1,KR7),HolidayList[Date],1,0)))),TRUE,FALSE),FALSE)</f>
        <v>0</v>
      </c>
      <c r="KS6" s="16" t="b">
        <f>IFERROR(IF(AND(VLOOKUP(KS8,$NX$28:$NY$41,2,0)="Yes",NOT(ISNUMBER(VLOOKUP(DATE($B$4,$B$5+$B$3-1,KS7),HolidayList[Date],1,0)))),TRUE,FALSE),FALSE)</f>
        <v>0</v>
      </c>
      <c r="KT6" s="16" t="b">
        <f>IFERROR(IF(AND(VLOOKUP(KT8,$NX$28:$NY$41,2,0)="Yes",NOT(ISNUMBER(VLOOKUP(DATE($B$4,$B$5+$B$3-1,KT7),HolidayList[Date],1,0)))),TRUE,FALSE),FALSE)</f>
        <v>0</v>
      </c>
      <c r="KU6" s="16" t="b">
        <f>IFERROR(IF(AND(VLOOKUP(KU8,$NX$28:$NY$41,2,0)="Yes",NOT(ISNUMBER(VLOOKUP(DATE($B$4,$B$5+$B$3-1,KU7),HolidayList[Date],1,0)))),TRUE,FALSE),FALSE)</f>
        <v>0</v>
      </c>
      <c r="KV6" s="16" t="b">
        <f>IFERROR(IF(AND(VLOOKUP(KV8,$NX$28:$NY$41,2,0)="Yes",NOT(ISNUMBER(VLOOKUP(DATE($B$4,$B$5+$B$3-1,KV7),HolidayList[Date],1,0)))),TRUE,FALSE),FALSE)</f>
        <v>0</v>
      </c>
      <c r="KW6" s="16" t="b">
        <f>IFERROR(IF(AND(VLOOKUP(KW8,$NX$28:$NY$41,2,0)="Yes",NOT(ISNUMBER(VLOOKUP(DATE($B$4,$B$5+$B$3-1,KW7),HolidayList[Date],1,0)))),TRUE,FALSE),FALSE)</f>
        <v>0</v>
      </c>
      <c r="KX6" s="16" t="b">
        <f>IFERROR(IF(AND(VLOOKUP(KX8,$NX$28:$NY$41,2,0)="Yes",NOT(ISNUMBER(VLOOKUP(DATE($B$4,$B$5+$B$3-1,KX7),HolidayList[Date],1,0)))),TRUE,FALSE),FALSE)</f>
        <v>0</v>
      </c>
      <c r="KY6" s="16" t="b">
        <f>IFERROR(IF(AND(VLOOKUP(KY8,$NX$28:$NY$41,2,0)="Yes",NOT(ISNUMBER(VLOOKUP(DATE($B$4,$B$5+$B$3-1,KY7),HolidayList[Date],1,0)))),TRUE,FALSE),FALSE)</f>
        <v>0</v>
      </c>
      <c r="KZ6" s="16" t="b">
        <f>IFERROR(IF(AND(VLOOKUP(KZ8,$NX$28:$NY$41,2,0)="Yes",NOT(ISNUMBER(VLOOKUP(DATE($B$4,$B$5+$B$3-1,KZ7),HolidayList[Date],1,0)))),TRUE,FALSE),FALSE)</f>
        <v>0</v>
      </c>
      <c r="LA6" s="16" t="b">
        <f>IFERROR(IF(AND(VLOOKUP(LA8,$NX$28:$NY$41,2,0)="Yes",NOT(ISNUMBER(VLOOKUP(DATE($B$4,$B$5+$B$3-1,LA7),HolidayList[Date],1,0)))),TRUE,FALSE),FALSE)</f>
        <v>0</v>
      </c>
      <c r="LB6" s="16" t="b">
        <f>IFERROR(IF(AND(VLOOKUP(LB8,$NX$28:$NY$41,2,0)="Yes",NOT(ISNUMBER(VLOOKUP(DATE($B$4,$B$5+$B$3-1,LB7),HolidayList[Date],1,0)))),TRUE,FALSE),FALSE)</f>
        <v>0</v>
      </c>
      <c r="LC6" s="16" t="b">
        <f>IFERROR(IF(AND(VLOOKUP(LC8,$NX$28:$NY$41,2,0)="Yes",NOT(ISNUMBER(VLOOKUP(DATE($B$4,$B$5+$B$3-1,LC7),HolidayList[Date],1,0)))),TRUE,FALSE),FALSE)</f>
        <v>0</v>
      </c>
      <c r="LD6" s="16" t="b">
        <f>IFERROR(IF(AND(VLOOKUP(LD8,$NX$28:$NY$41,2,0)="Yes",NOT(ISNUMBER(VLOOKUP(DATE($B$4,$B$5+$B$3-1,LD7),HolidayList[Date],1,0)))),TRUE,FALSE),FALSE)</f>
        <v>0</v>
      </c>
      <c r="LE6" s="16" t="b">
        <f>IFERROR(IF(AND(VLOOKUP(LE8,$NX$28:$NY$41,2,0)="Yes",NOT(ISNUMBER(VLOOKUP(DATE($B$4,$B$5+$B$3-1,LE7),HolidayList[Date],1,0)))),TRUE,FALSE),FALSE)</f>
        <v>0</v>
      </c>
      <c r="LF6" s="16" t="b">
        <f>IFERROR(IF(AND(VLOOKUP(LF8,$NX$28:$NY$41,2,0)="Yes",NOT(ISNUMBER(VLOOKUP(DATE($B$4,$B$5+$B$3-1,LF7),HolidayList[Date],1,0)))),TRUE,FALSE),FALSE)</f>
        <v>0</v>
      </c>
      <c r="LG6" s="16" t="b">
        <f>IFERROR(IF(AND(VLOOKUP(LG8,$NX$28:$NY$41,2,0)="Yes",NOT(ISNUMBER(VLOOKUP(DATE($B$4,$B$5+$B$3-1,LG7),HolidayList[Date],1,0)))),TRUE,FALSE),FALSE)</f>
        <v>0</v>
      </c>
      <c r="LH6" s="16" t="b">
        <f>IFERROR(IF(AND(VLOOKUP(LH8,$NX$28:$NY$41,2,0)="Yes",NOT(ISNUMBER(VLOOKUP(DATE($B$4,$B$5+$B$3-1,LH7),HolidayList[Date],1,0)))),TRUE,FALSE),FALSE)</f>
        <v>0</v>
      </c>
      <c r="LI6" s="16" t="b">
        <f>IFERROR(IF(AND(VLOOKUP(LI8,$NX$28:$NY$41,2,0)="Yes",NOT(ISNUMBER(VLOOKUP(DATE($B$4,$B$5+$B$3-1,LI7),HolidayList[Date],1,0)))),TRUE,FALSE),FALSE)</f>
        <v>0</v>
      </c>
      <c r="LJ6" s="16" t="b">
        <f>IFERROR(IF(AND(VLOOKUP(LJ8,$NX$28:$NY$41,2,0)="Yes",NOT(ISNUMBER(VLOOKUP(DATE($B$4,$B$5+$B$3-1,LJ7),HolidayList[Date],1,0)))),TRUE,FALSE),FALSE)</f>
        <v>0</v>
      </c>
      <c r="LK6" s="16" t="b">
        <f>IFERROR(IF(AND(VLOOKUP(LK8,$NX$28:$NY$41,2,0)="Yes",NOT(ISNUMBER(VLOOKUP(DATE($B$4,$B$5+$B$3-1,LK7),HolidayList[Date],1,0)))),TRUE,FALSE),FALSE)</f>
        <v>0</v>
      </c>
      <c r="LL6" s="16" t="b">
        <f>IFERROR(IF(AND(VLOOKUP(LL8,$NX$28:$NY$41,2,0)="Yes",NOT(ISNUMBER(VLOOKUP(DATE($B$4,$B$5+$B$3-1,LL7),HolidayList[Date],1,0)))),TRUE,FALSE),FALSE)</f>
        <v>0</v>
      </c>
      <c r="LM6" s="16" t="b">
        <f>IFERROR(IF(AND(VLOOKUP(LM8,$NX$28:$NY$41,2,0)="Yes",NOT(ISNUMBER(VLOOKUP(DATE($B$4,$B$5+$B$3-1,LM7),HolidayList[Date],1,0)))),TRUE,FALSE),FALSE)</f>
        <v>0</v>
      </c>
      <c r="LN6" s="16" t="b">
        <f>IFERROR(IF(AND(VLOOKUP(LN8,$NX$28:$NY$41,2,0)="Yes",NOT(ISNUMBER(VLOOKUP(DATE($B$4,$B$5+$B$3-1,LN7),HolidayList[Date],1,0)))),TRUE,FALSE),FALSE)</f>
        <v>0</v>
      </c>
      <c r="LO6" s="16" t="b">
        <f>IFERROR(IF(AND(VLOOKUP(LO8,$NX$28:$NY$41,2,0)="Yes",NOT(ISNUMBER(VLOOKUP(DATE($B$4,$B$5+$B$3-1,LO7),HolidayList[Date],1,0)))),TRUE,FALSE),FALSE)</f>
        <v>0</v>
      </c>
      <c r="LP6" s="16" t="b">
        <f>IFERROR(IF(AND(VLOOKUP(LP8,$NX$28:$NY$41,2,0)="Yes",NOT(ISNUMBER(VLOOKUP(DATE($B$4,$B$5+$B$3-1,LP7),HolidayList[Date],1,0)))),TRUE,FALSE),FALSE)</f>
        <v>0</v>
      </c>
      <c r="LQ6" s="16" t="b">
        <f>IFERROR(IF(AND(VLOOKUP(LQ8,$NX$28:$NY$41,2,0)="Yes",NOT(ISNUMBER(VLOOKUP(DATE($B$4,$B$5+$B$3-1,LQ7),HolidayList[Date],1,0)))),TRUE,FALSE),FALSE)</f>
        <v>0</v>
      </c>
      <c r="LR6" s="16" t="b">
        <f>IFERROR(IF(AND(VLOOKUP(LR8,$NX$28:$NY$41,2,0)="Yes",NOT(ISNUMBER(VLOOKUP(DATE($B$4,$B$5+$B$3-1,LR7),HolidayList[Date],1,0)))),TRUE,FALSE),FALSE)</f>
        <v>0</v>
      </c>
      <c r="LS6" s="16" t="b">
        <f>IFERROR(IF(AND(VLOOKUP(LS8,$NX$28:$NY$41,2,0)="Yes",NOT(ISNUMBER(VLOOKUP(DATE($B$4,$B$5+$B$3-1,LS7),HolidayList[Date],1,0)))),TRUE,FALSE),FALSE)</f>
        <v>0</v>
      </c>
      <c r="LT6" s="16" t="b">
        <f>IFERROR(IF(AND(VLOOKUP(LT8,$NX$28:$NY$41,2,0)="Yes",NOT(ISNUMBER(VLOOKUP(DATE($B$4,$B$5+$B$3-1,LT7),HolidayList[Date],1,0)))),TRUE,FALSE),FALSE)</f>
        <v>0</v>
      </c>
      <c r="LU6" s="16" t="b">
        <f>IFERROR(IF(AND(VLOOKUP(LU8,$NX$28:$NY$41,2,0)="Yes",NOT(ISNUMBER(VLOOKUP(DATE($B$4,$B$5+$B$3-1,LU7),HolidayList[Date],1,0)))),TRUE,FALSE),FALSE)</f>
        <v>0</v>
      </c>
      <c r="LV6" s="16" t="b">
        <f>IFERROR(IF(AND(VLOOKUP(LV8,$NX$28:$NY$41,2,0)="Yes",NOT(ISNUMBER(VLOOKUP(DATE($B$4,$B$5+$B$3-1,LV7),HolidayList[Date],1,0)))),TRUE,FALSE),FALSE)</f>
        <v>0</v>
      </c>
      <c r="LW6" s="16" t="b">
        <f>IFERROR(IF(AND(VLOOKUP(LW8,$NX$28:$NY$41,2,0)="Yes",NOT(ISNUMBER(VLOOKUP(DATE($B$4,$B$5+$B$3-1,LW7),HolidayList[Date],1,0)))),TRUE,FALSE),FALSE)</f>
        <v>0</v>
      </c>
      <c r="LX6" s="16" t="b">
        <f>IFERROR(IF(AND(VLOOKUP(LX8,$NX$28:$NY$41,2,0)="Yes",NOT(ISNUMBER(VLOOKUP(DATE($B$4,$B$5+$B$3-1,LX7),HolidayList[Date],1,0)))),TRUE,FALSE),FALSE)</f>
        <v>0</v>
      </c>
      <c r="LY6" s="16" t="b">
        <f>IFERROR(IF(AND(VLOOKUP(LY8,$NX$28:$NY$41,2,0)="Yes",NOT(ISNUMBER(VLOOKUP(DATE($B$4,$B$5+$B$3-1,LY7),HolidayList[Date],1,0)))),TRUE,FALSE),FALSE)</f>
        <v>0</v>
      </c>
      <c r="LZ6" s="16" t="b">
        <f>IFERROR(IF(AND(VLOOKUP(LZ8,$NX$28:$NY$41,2,0)="Yes",NOT(ISNUMBER(VLOOKUP(DATE($B$4,$B$5+$B$3-1,LZ7),HolidayList[Date],1,0)))),TRUE,FALSE),FALSE)</f>
        <v>0</v>
      </c>
      <c r="MA6" s="16" t="b">
        <f>IFERROR(IF(AND(VLOOKUP(MA8,$NX$28:$NY$41,2,0)="Yes",NOT(ISNUMBER(VLOOKUP(DATE($B$4,$B$5+$B$3-1,MA7),HolidayList[Date],1,0)))),TRUE,FALSE),FALSE)</f>
        <v>0</v>
      </c>
      <c r="MB6" s="16" t="b">
        <f>IFERROR(IF(AND(VLOOKUP(MB8,$NX$28:$NY$41,2,0)="Yes",NOT(ISNUMBER(VLOOKUP(DATE($B$4,$B$5+$B$3-1,MB7),HolidayList[Date],1,0)))),TRUE,FALSE),FALSE)</f>
        <v>0</v>
      </c>
      <c r="MC6" s="16" t="b">
        <f>IFERROR(IF(AND(VLOOKUP(MC8,$NX$28:$NY$41,2,0)="Yes",NOT(ISNUMBER(VLOOKUP(DATE($B$4,$B$5+$B$3-1,MC7),HolidayList[Date],1,0)))),TRUE,FALSE),FALSE)</f>
        <v>0</v>
      </c>
      <c r="MD6" s="16" t="b">
        <f>IFERROR(IF(AND(VLOOKUP(MD8,$NX$28:$NY$41,2,0)="Yes",NOT(ISNUMBER(VLOOKUP(DATE($B$4,$B$5+$B$3-1,MD7),HolidayList[Date],1,0)))),TRUE,FALSE),FALSE)</f>
        <v>0</v>
      </c>
      <c r="ME6" s="16" t="b">
        <f>IFERROR(IF(AND(VLOOKUP(ME8,$NX$28:$NY$41,2,0)="Yes",NOT(ISNUMBER(VLOOKUP(DATE($B$4,$B$5+$B$3-1,ME7),HolidayList[Date],1,0)))),TRUE,FALSE),FALSE)</f>
        <v>0</v>
      </c>
      <c r="MF6" s="16" t="b">
        <f>IFERROR(IF(AND(VLOOKUP(MF8,$NX$28:$NY$41,2,0)="Yes",NOT(ISNUMBER(VLOOKUP(DATE($B$4,$B$5+$B$3-1,MF7),HolidayList[Date],1,0)))),TRUE,FALSE),FALSE)</f>
        <v>0</v>
      </c>
      <c r="MG6" s="16" t="b">
        <f>IFERROR(IF(AND(VLOOKUP(MG8,$NX$28:$NY$41,2,0)="Yes",NOT(ISNUMBER(VLOOKUP(DATE($B$4,$B$5+$B$3-1,MG7),HolidayList[Date],1,0)))),TRUE,FALSE),FALSE)</f>
        <v>0</v>
      </c>
      <c r="MH6" s="16" t="b">
        <f>IFERROR(IF(AND(VLOOKUP(MH8,$NX$28:$NY$41,2,0)="Yes",NOT(ISNUMBER(VLOOKUP(DATE($B$4,$B$5+$B$3-1,MH7),HolidayList[Date],1,0)))),TRUE,FALSE),FALSE)</f>
        <v>0</v>
      </c>
      <c r="MI6" s="16" t="b">
        <f>IFERROR(IF(AND(VLOOKUP(MI8,$NX$28:$NY$41,2,0)="Yes",NOT(ISNUMBER(VLOOKUP(DATE($B$4,$B$5+$B$3-1,MI7),HolidayList[Date],1,0)))),TRUE,FALSE),FALSE)</f>
        <v>0</v>
      </c>
      <c r="MJ6" s="16" t="b">
        <f>IFERROR(IF(AND(VLOOKUP(MJ8,$NX$28:$NY$41,2,0)="Yes",NOT(ISNUMBER(VLOOKUP(DATE($B$4,$B$5+$B$3-1,MJ7),HolidayList[Date],1,0)))),TRUE,FALSE),FALSE)</f>
        <v>0</v>
      </c>
      <c r="MK6" s="16" t="b">
        <f>IFERROR(IF(AND(VLOOKUP(MK8,$NX$28:$NY$41,2,0)="Yes",NOT(ISNUMBER(VLOOKUP(DATE($B$4,$B$5+$B$3-1,MK7),HolidayList[Date],1,0)))),TRUE,FALSE),FALSE)</f>
        <v>0</v>
      </c>
      <c r="ML6" s="16" t="b">
        <f>IFERROR(IF(AND(VLOOKUP(ML8,$NX$28:$NY$41,2,0)="Yes",NOT(ISNUMBER(VLOOKUP(DATE($B$4,$B$5+$B$3-1,ML7),HolidayList[Date],1,0)))),TRUE,FALSE),FALSE)</f>
        <v>0</v>
      </c>
      <c r="MM6" s="16" t="b">
        <f>IFERROR(IF(AND(VLOOKUP(MM8,$NX$28:$NY$41,2,0)="Yes",NOT(ISNUMBER(VLOOKUP(DATE($B$4,$B$5+$B$3-1,MM7),HolidayList[Date],1,0)))),TRUE,FALSE),FALSE)</f>
        <v>0</v>
      </c>
      <c r="MN6" s="16" t="b">
        <f>IFERROR(IF(AND(VLOOKUP(MN8,$NX$28:$NY$41,2,0)="Yes",NOT(ISNUMBER(VLOOKUP(DATE($B$4,$B$5+$B$3-1,MN7),HolidayList[Date],1,0)))),TRUE,FALSE),FALSE)</f>
        <v>0</v>
      </c>
      <c r="MO6" s="16" t="b">
        <f>IFERROR(IF(AND(VLOOKUP(MO8,$NX$28:$NY$41,2,0)="Yes",NOT(ISNUMBER(VLOOKUP(DATE($B$4,$B$5+$B$3-1,MO7),HolidayList[Date],1,0)))),TRUE,FALSE),FALSE)</f>
        <v>0</v>
      </c>
      <c r="MP6" s="16" t="b">
        <f>IFERROR(IF(AND(VLOOKUP(MP8,$NX$28:$NY$41,2,0)="Yes",NOT(ISNUMBER(VLOOKUP(DATE($B$4,$B$5+$B$3-1,MP7),HolidayList[Date],1,0)))),TRUE,FALSE),FALSE)</f>
        <v>0</v>
      </c>
      <c r="MQ6" s="16" t="b">
        <f>IFERROR(IF(AND(VLOOKUP(MQ8,$NX$28:$NY$41,2,0)="Yes",NOT(ISNUMBER(VLOOKUP(DATE($B$4,$B$5+$B$3-1,MQ7),HolidayList[Date],1,0)))),TRUE,FALSE),FALSE)</f>
        <v>0</v>
      </c>
      <c r="MR6" s="16" t="b">
        <f>IFERROR(IF(AND(VLOOKUP(MR8,$NX$28:$NY$41,2,0)="Yes",NOT(ISNUMBER(VLOOKUP(DATE($B$4,$B$5+$B$3-1,MR7),HolidayList[Date],1,0)))),TRUE,FALSE),FALSE)</f>
        <v>0</v>
      </c>
      <c r="MS6" s="16" t="b">
        <f>IFERROR(IF(AND(VLOOKUP(MS8,$NX$28:$NY$41,2,0)="Yes",NOT(ISNUMBER(VLOOKUP(DATE($B$4,$B$5+$B$3-1,MS7),HolidayList[Date],1,0)))),TRUE,FALSE),FALSE)</f>
        <v>0</v>
      </c>
      <c r="MT6" s="16" t="b">
        <f>IFERROR(IF(AND(VLOOKUP(MT8,$NX$28:$NY$41,2,0)="Yes",NOT(ISNUMBER(VLOOKUP(DATE($B$4,$B$5+$B$3-1,MT7),HolidayList[Date],1,0)))),TRUE,FALSE),FALSE)</f>
        <v>0</v>
      </c>
      <c r="MU6" s="16" t="b">
        <f>IFERROR(IF(AND(VLOOKUP(MU8,$NX$28:$NY$41,2,0)="Yes",NOT(ISNUMBER(VLOOKUP(DATE($B$4,$B$5+$B$3-1,MU7),HolidayList[Date],1,0)))),TRUE,FALSE),FALSE)</f>
        <v>0</v>
      </c>
      <c r="MV6" s="16" t="b">
        <f>IFERROR(IF(AND(VLOOKUP(MV8,$NX$28:$NY$41,2,0)="Yes",NOT(ISNUMBER(VLOOKUP(DATE($B$4,$B$5+$B$3-1,MV7),HolidayList[Date],1,0)))),TRUE,FALSE),FALSE)</f>
        <v>0</v>
      </c>
      <c r="MW6" s="16" t="b">
        <f>IFERROR(IF(AND(VLOOKUP(MW8,$NX$28:$NY$41,2,0)="Yes",NOT(ISNUMBER(VLOOKUP(DATE($B$4,$B$5+$B$3-1,MW7),HolidayList[Date],1,0)))),TRUE,FALSE),FALSE)</f>
        <v>0</v>
      </c>
      <c r="MX6" s="16" t="b">
        <f>IFERROR(IF(AND(VLOOKUP(MX8,$NX$28:$NY$41,2,0)="Yes",NOT(ISNUMBER(VLOOKUP(DATE($B$4,$B$5+$B$3-1,MX7),HolidayList[Date],1,0)))),TRUE,FALSE),FALSE)</f>
        <v>0</v>
      </c>
      <c r="MY6" s="16" t="b">
        <f>IFERROR(IF(AND(VLOOKUP(MY8,$NX$28:$NY$41,2,0)="Yes",NOT(ISNUMBER(VLOOKUP(DATE($B$4,$B$5+$B$3-1,MY7),HolidayList[Date],1,0)))),TRUE,FALSE),FALSE)</f>
        <v>0</v>
      </c>
      <c r="MZ6" s="16" t="b">
        <f>IFERROR(IF(AND(VLOOKUP(MZ8,$NX$28:$NY$41,2,0)="Yes",NOT(ISNUMBER(VLOOKUP(DATE($B$4,$B$5+$B$3-1,MZ7),HolidayList[Date],1,0)))),TRUE,FALSE),FALSE)</f>
        <v>0</v>
      </c>
      <c r="NA6" s="16" t="b">
        <f>IFERROR(IF(AND(VLOOKUP(NA8,$NX$28:$NY$41,2,0)="Yes",NOT(ISNUMBER(VLOOKUP(DATE($B$4,$B$5+$B$3-1,NA7),HolidayList[Date],1,0)))),TRUE,FALSE),FALSE)</f>
        <v>0</v>
      </c>
      <c r="NB6" s="16" t="b">
        <f>IFERROR(IF(AND(VLOOKUP(NB8,$NX$28:$NY$41,2,0)="Yes",NOT(ISNUMBER(VLOOKUP(DATE($B$4,$B$5+$B$3-1,NB7),HolidayList[Date],1,0)))),TRUE,FALSE),FALSE)</f>
        <v>0</v>
      </c>
      <c r="NC6" s="16" t="b">
        <f>IFERROR(IF(AND(VLOOKUP(NC8,$NX$28:$NY$41,2,0)="Yes",NOT(ISNUMBER(VLOOKUP(DATE($B$4,$B$5+$B$3-1,NC7),HolidayList[Date],1,0)))),TRUE,FALSE),FALSE)</f>
        <v>0</v>
      </c>
      <c r="ND6" s="16" t="b">
        <f>IFERROR(IF(AND(VLOOKUP(ND8,$NX$28:$NY$41,2,0)="Yes",NOT(ISNUMBER(VLOOKUP(DATE($B$4,$B$5+$B$3-1,ND7),HolidayList[Date],1,0)))),TRUE,FALSE),FALSE)</f>
        <v>0</v>
      </c>
      <c r="NE6" s="16" t="b">
        <f>IFERROR(IF(AND(VLOOKUP(NE8,$NX$28:$NY$41,2,0)="Yes",NOT(ISNUMBER(VLOOKUP(DATE($B$4,$B$5+$B$3-1,NE7),HolidayList[Date],1,0)))),TRUE,FALSE),FALSE)</f>
        <v>0</v>
      </c>
      <c r="NF6" s="16" t="b">
        <f>IFERROR(IF(AND(VLOOKUP(NF8,$NX$28:$NY$41,2,0)="Yes",NOT(ISNUMBER(VLOOKUP(DATE($B$4,$B$5+$B$3-1,NF7),HolidayList[Date],1,0)))),TRUE,FALSE),FALSE)</f>
        <v>0</v>
      </c>
      <c r="NG6" s="16" t="b">
        <f>IFERROR(IF(AND(VLOOKUP(NG8,$NX$28:$NY$41,2,0)="Yes",NOT(ISNUMBER(VLOOKUP(DATE($B$4,$B$5+$B$3-1,NG7),HolidayList[Date],1,0)))),TRUE,FALSE),FALSE)</f>
        <v>0</v>
      </c>
      <c r="NH6" s="16" t="b">
        <f>IFERROR(IF(AND(VLOOKUP(NH8,$NX$28:$NY$41,2,0)="Yes",NOT(ISNUMBER(VLOOKUP(DATE($B$4,$B$5+$B$3-1,NH7),HolidayList[Date],1,0)))),TRUE,FALSE),FALSE)</f>
        <v>0</v>
      </c>
      <c r="NI6" s="16" t="b">
        <f>IFERROR(IF(AND(VLOOKUP(NI8,$NX$28:$NY$41,2,0)="Yes",NOT(ISNUMBER(VLOOKUP(DATE($B$4,$B$5+$B$3-1,NI7),HolidayList[Date],1,0)))),TRUE,FALSE),FALSE)</f>
        <v>0</v>
      </c>
      <c r="NJ6" s="16" t="b">
        <f>IFERROR(IF(AND(VLOOKUP(NJ8,$NX$28:$NY$41,2,0)="Yes",NOT(ISNUMBER(VLOOKUP(DATE($B$4,$B$5+$B$3-1,NJ7),HolidayList[Date],1,0)))),TRUE,FALSE),FALSE)</f>
        <v>0</v>
      </c>
      <c r="NM6" s="86" t="s">
        <v>34</v>
      </c>
      <c r="NN6" s="87"/>
      <c r="NO6" s="87"/>
      <c r="NP6" s="87"/>
      <c r="NQ6" s="87"/>
      <c r="NR6" s="87"/>
      <c r="NS6" s="87"/>
    </row>
    <row r="7" spans="1:762" x14ac:dyDescent="0.35">
      <c r="B7" s="25"/>
      <c r="C7" s="26" t="str">
        <f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D7" s="26" t="str">
        <f t="shared" ref="D7:BO7" si="0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E7" s="26" t="str">
        <f t="shared" si="0"/>
        <v/>
      </c>
      <c r="F7" s="26" t="str">
        <f t="shared" si="0"/>
        <v/>
      </c>
      <c r="G7" s="26" t="str">
        <f t="shared" si="0"/>
        <v/>
      </c>
      <c r="H7" s="26" t="str">
        <f t="shared" si="0"/>
        <v/>
      </c>
      <c r="I7" s="26" t="str">
        <f t="shared" si="0"/>
        <v/>
      </c>
      <c r="J7" s="26" t="str">
        <f t="shared" si="0"/>
        <v/>
      </c>
      <c r="K7" s="26" t="str">
        <f t="shared" si="0"/>
        <v/>
      </c>
      <c r="L7" s="26" t="str">
        <f t="shared" si="0"/>
        <v/>
      </c>
      <c r="M7" s="26" t="str">
        <f t="shared" si="0"/>
        <v/>
      </c>
      <c r="N7" s="26" t="str">
        <f t="shared" si="0"/>
        <v/>
      </c>
      <c r="O7" s="26" t="str">
        <f t="shared" si="0"/>
        <v/>
      </c>
      <c r="P7" s="26" t="str">
        <f t="shared" si="0"/>
        <v/>
      </c>
      <c r="Q7" s="26" t="str">
        <f t="shared" si="0"/>
        <v/>
      </c>
      <c r="R7" s="26" t="str">
        <f t="shared" si="0"/>
        <v/>
      </c>
      <c r="S7" s="26" t="str">
        <f t="shared" si="0"/>
        <v/>
      </c>
      <c r="T7" s="26" t="str">
        <f t="shared" si="0"/>
        <v/>
      </c>
      <c r="U7" s="26" t="str">
        <f t="shared" si="0"/>
        <v/>
      </c>
      <c r="V7" s="26" t="str">
        <f t="shared" si="0"/>
        <v/>
      </c>
      <c r="W7" s="26" t="str">
        <f t="shared" si="0"/>
        <v/>
      </c>
      <c r="X7" s="26" t="str">
        <f t="shared" si="0"/>
        <v/>
      </c>
      <c r="Y7" s="26" t="str">
        <f t="shared" si="0"/>
        <v/>
      </c>
      <c r="Z7" s="26" t="str">
        <f t="shared" si="0"/>
        <v/>
      </c>
      <c r="AA7" s="26" t="str">
        <f t="shared" si="0"/>
        <v/>
      </c>
      <c r="AB7" s="26" t="str">
        <f t="shared" si="0"/>
        <v/>
      </c>
      <c r="AC7" s="26" t="str">
        <f t="shared" si="0"/>
        <v/>
      </c>
      <c r="AD7" s="26" t="str">
        <f t="shared" si="0"/>
        <v/>
      </c>
      <c r="AE7" s="26" t="str">
        <f t="shared" si="0"/>
        <v/>
      </c>
      <c r="AF7" s="26" t="str">
        <f t="shared" si="0"/>
        <v/>
      </c>
      <c r="AG7" s="26">
        <f t="shared" si="0"/>
        <v>1</v>
      </c>
      <c r="AH7" s="7">
        <f t="shared" si="0"/>
        <v>2</v>
      </c>
      <c r="AI7" s="7">
        <f t="shared" si="0"/>
        <v>3</v>
      </c>
      <c r="AJ7" s="7">
        <f t="shared" si="0"/>
        <v>4</v>
      </c>
      <c r="AK7" s="7">
        <f t="shared" si="0"/>
        <v>5</v>
      </c>
      <c r="AL7" s="7">
        <f t="shared" si="0"/>
        <v>6</v>
      </c>
      <c r="AM7" s="7">
        <f t="shared" si="0"/>
        <v>7</v>
      </c>
      <c r="AN7" s="7">
        <f t="shared" si="0"/>
        <v>8</v>
      </c>
      <c r="AO7" s="7">
        <f t="shared" si="0"/>
        <v>9</v>
      </c>
      <c r="AP7" s="7">
        <f t="shared" si="0"/>
        <v>10</v>
      </c>
      <c r="AQ7" s="7">
        <f t="shared" si="0"/>
        <v>11</v>
      </c>
      <c r="AR7" s="7">
        <f t="shared" si="0"/>
        <v>12</v>
      </c>
      <c r="AS7" s="7">
        <f t="shared" si="0"/>
        <v>13</v>
      </c>
      <c r="AT7" s="7">
        <f t="shared" si="0"/>
        <v>14</v>
      </c>
      <c r="AU7" s="7">
        <f t="shared" si="0"/>
        <v>15</v>
      </c>
      <c r="AV7" s="7">
        <f t="shared" si="0"/>
        <v>16</v>
      </c>
      <c r="AW7" s="7">
        <f t="shared" si="0"/>
        <v>17</v>
      </c>
      <c r="AX7" s="7">
        <f t="shared" si="0"/>
        <v>18</v>
      </c>
      <c r="AY7" s="7">
        <f t="shared" si="0"/>
        <v>19</v>
      </c>
      <c r="AZ7" s="7">
        <f t="shared" si="0"/>
        <v>20</v>
      </c>
      <c r="BA7" s="7">
        <f t="shared" si="0"/>
        <v>21</v>
      </c>
      <c r="BB7" s="7">
        <f t="shared" si="0"/>
        <v>22</v>
      </c>
      <c r="BC7" s="7">
        <f t="shared" si="0"/>
        <v>23</v>
      </c>
      <c r="BD7" s="7">
        <f t="shared" si="0"/>
        <v>24</v>
      </c>
      <c r="BE7" s="7">
        <f t="shared" si="0"/>
        <v>25</v>
      </c>
      <c r="BF7" s="7">
        <f t="shared" si="0"/>
        <v>26</v>
      </c>
      <c r="BG7" s="7">
        <f t="shared" si="0"/>
        <v>27</v>
      </c>
      <c r="BH7" s="7">
        <f t="shared" si="0"/>
        <v>28</v>
      </c>
      <c r="BI7" s="7" t="str">
        <f t="shared" si="0"/>
        <v/>
      </c>
      <c r="BJ7" s="7" t="str">
        <f t="shared" si="0"/>
        <v/>
      </c>
      <c r="BK7" s="7" t="str">
        <f t="shared" si="0"/>
        <v/>
      </c>
      <c r="BL7" s="7" t="str">
        <f t="shared" si="0"/>
        <v/>
      </c>
      <c r="BM7" s="7" t="str">
        <f t="shared" si="0"/>
        <v/>
      </c>
      <c r="BN7" s="7" t="str">
        <f t="shared" si="0"/>
        <v/>
      </c>
      <c r="BO7" s="7" t="str">
        <f t="shared" si="0"/>
        <v/>
      </c>
      <c r="BP7" s="7" t="str">
        <f t="shared" ref="BP7:EA7" si="1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BQ7" s="7" t="str">
        <f t="shared" si="1"/>
        <v/>
      </c>
      <c r="BR7" s="7" t="str">
        <f t="shared" si="1"/>
        <v/>
      </c>
      <c r="BS7" s="7" t="str">
        <f t="shared" si="1"/>
        <v/>
      </c>
      <c r="BT7" s="7" t="str">
        <f t="shared" si="1"/>
        <v/>
      </c>
      <c r="BU7" s="7" t="str">
        <f t="shared" si="1"/>
        <v/>
      </c>
      <c r="BV7" s="7" t="str">
        <f t="shared" si="1"/>
        <v/>
      </c>
      <c r="BW7" s="7" t="str">
        <f t="shared" si="1"/>
        <v/>
      </c>
      <c r="BX7" s="7" t="str">
        <f t="shared" si="1"/>
        <v/>
      </c>
      <c r="BY7" s="7" t="str">
        <f t="shared" si="1"/>
        <v/>
      </c>
      <c r="BZ7" s="7" t="str">
        <f t="shared" si="1"/>
        <v/>
      </c>
      <c r="CA7" s="7" t="str">
        <f t="shared" si="1"/>
        <v/>
      </c>
      <c r="CB7" s="7" t="str">
        <f t="shared" si="1"/>
        <v/>
      </c>
      <c r="CC7" s="7" t="str">
        <f t="shared" si="1"/>
        <v/>
      </c>
      <c r="CD7" s="7" t="str">
        <f t="shared" si="1"/>
        <v/>
      </c>
      <c r="CE7" s="7" t="str">
        <f t="shared" si="1"/>
        <v/>
      </c>
      <c r="CF7" s="7" t="str">
        <f t="shared" si="1"/>
        <v/>
      </c>
      <c r="CG7" s="7" t="str">
        <f t="shared" si="1"/>
        <v/>
      </c>
      <c r="CH7" s="7" t="str">
        <f t="shared" si="1"/>
        <v/>
      </c>
      <c r="CI7" s="7" t="str">
        <f t="shared" si="1"/>
        <v/>
      </c>
      <c r="CJ7" s="7" t="str">
        <f t="shared" si="1"/>
        <v/>
      </c>
      <c r="CK7" s="7" t="str">
        <f t="shared" si="1"/>
        <v/>
      </c>
      <c r="CL7" s="7" t="str">
        <f t="shared" si="1"/>
        <v/>
      </c>
      <c r="CM7" s="7" t="str">
        <f t="shared" si="1"/>
        <v/>
      </c>
      <c r="CN7" s="7" t="str">
        <f t="shared" si="1"/>
        <v/>
      </c>
      <c r="CO7" s="7" t="str">
        <f t="shared" si="1"/>
        <v/>
      </c>
      <c r="CP7" s="7" t="str">
        <f t="shared" si="1"/>
        <v/>
      </c>
      <c r="CQ7" s="7" t="str">
        <f t="shared" si="1"/>
        <v/>
      </c>
      <c r="CR7" s="7" t="str">
        <f t="shared" si="1"/>
        <v/>
      </c>
      <c r="CS7" s="7" t="str">
        <f t="shared" si="1"/>
        <v/>
      </c>
      <c r="CT7" s="7" t="str">
        <f t="shared" si="1"/>
        <v/>
      </c>
      <c r="CU7" s="7" t="str">
        <f t="shared" si="1"/>
        <v/>
      </c>
      <c r="CV7" s="7" t="str">
        <f t="shared" si="1"/>
        <v/>
      </c>
      <c r="CW7" s="7" t="str">
        <f t="shared" si="1"/>
        <v/>
      </c>
      <c r="CX7" s="7" t="str">
        <f t="shared" si="1"/>
        <v/>
      </c>
      <c r="CY7" s="7" t="str">
        <f t="shared" si="1"/>
        <v/>
      </c>
      <c r="CZ7" s="7" t="str">
        <f t="shared" si="1"/>
        <v/>
      </c>
      <c r="DA7" s="7" t="str">
        <f t="shared" si="1"/>
        <v/>
      </c>
      <c r="DB7" s="7" t="str">
        <f t="shared" si="1"/>
        <v/>
      </c>
      <c r="DC7" s="7" t="str">
        <f t="shared" si="1"/>
        <v/>
      </c>
      <c r="DD7" s="7" t="str">
        <f t="shared" si="1"/>
        <v/>
      </c>
      <c r="DE7" s="7" t="str">
        <f t="shared" si="1"/>
        <v/>
      </c>
      <c r="DF7" s="7" t="str">
        <f t="shared" si="1"/>
        <v/>
      </c>
      <c r="DG7" s="7" t="str">
        <f t="shared" si="1"/>
        <v/>
      </c>
      <c r="DH7" s="7" t="str">
        <f t="shared" si="1"/>
        <v/>
      </c>
      <c r="DI7" s="7" t="str">
        <f t="shared" si="1"/>
        <v/>
      </c>
      <c r="DJ7" s="7" t="str">
        <f t="shared" si="1"/>
        <v/>
      </c>
      <c r="DK7" s="7" t="str">
        <f t="shared" si="1"/>
        <v/>
      </c>
      <c r="DL7" s="7" t="str">
        <f t="shared" si="1"/>
        <v/>
      </c>
      <c r="DM7" s="7" t="str">
        <f t="shared" si="1"/>
        <v/>
      </c>
      <c r="DN7" s="7" t="str">
        <f t="shared" si="1"/>
        <v/>
      </c>
      <c r="DO7" s="7" t="str">
        <f t="shared" si="1"/>
        <v/>
      </c>
      <c r="DP7" s="7" t="str">
        <f t="shared" si="1"/>
        <v/>
      </c>
      <c r="DQ7" s="7" t="str">
        <f t="shared" si="1"/>
        <v/>
      </c>
      <c r="DR7" s="7" t="str">
        <f t="shared" si="1"/>
        <v/>
      </c>
      <c r="DS7" s="7" t="str">
        <f t="shared" si="1"/>
        <v/>
      </c>
      <c r="DT7" s="7" t="str">
        <f t="shared" si="1"/>
        <v/>
      </c>
      <c r="DU7" s="7" t="str">
        <f t="shared" si="1"/>
        <v/>
      </c>
      <c r="DV7" s="7" t="str">
        <f t="shared" si="1"/>
        <v/>
      </c>
      <c r="DW7" s="7" t="str">
        <f t="shared" si="1"/>
        <v/>
      </c>
      <c r="DX7" s="7" t="str">
        <f t="shared" si="1"/>
        <v/>
      </c>
      <c r="DY7" s="7" t="str">
        <f t="shared" si="1"/>
        <v/>
      </c>
      <c r="DZ7" s="7" t="str">
        <f t="shared" si="1"/>
        <v/>
      </c>
      <c r="EA7" s="7" t="str">
        <f t="shared" si="1"/>
        <v/>
      </c>
      <c r="EB7" s="7" t="str">
        <f t="shared" ref="EB7:GM7" si="2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EC7" s="7" t="str">
        <f t="shared" si="2"/>
        <v/>
      </c>
      <c r="ED7" s="7" t="str">
        <f t="shared" si="2"/>
        <v/>
      </c>
      <c r="EE7" s="7" t="str">
        <f t="shared" si="2"/>
        <v/>
      </c>
      <c r="EF7" s="7" t="str">
        <f t="shared" si="2"/>
        <v/>
      </c>
      <c r="EG7" s="7" t="str">
        <f t="shared" si="2"/>
        <v/>
      </c>
      <c r="EH7" s="7" t="str">
        <f t="shared" si="2"/>
        <v/>
      </c>
      <c r="EI7" s="7" t="str">
        <f t="shared" si="2"/>
        <v/>
      </c>
      <c r="EJ7" s="7" t="str">
        <f t="shared" si="2"/>
        <v/>
      </c>
      <c r="EK7" s="7" t="str">
        <f t="shared" si="2"/>
        <v/>
      </c>
      <c r="EL7" s="7" t="str">
        <f t="shared" si="2"/>
        <v/>
      </c>
      <c r="EM7" s="7" t="str">
        <f t="shared" si="2"/>
        <v/>
      </c>
      <c r="EN7" s="7" t="str">
        <f t="shared" si="2"/>
        <v/>
      </c>
      <c r="EO7" s="7" t="str">
        <f t="shared" si="2"/>
        <v/>
      </c>
      <c r="EP7" s="7" t="str">
        <f t="shared" si="2"/>
        <v/>
      </c>
      <c r="EQ7" s="7" t="str">
        <f t="shared" si="2"/>
        <v/>
      </c>
      <c r="ER7" s="7" t="str">
        <f t="shared" si="2"/>
        <v/>
      </c>
      <c r="ES7" s="7" t="str">
        <f t="shared" si="2"/>
        <v/>
      </c>
      <c r="ET7" s="7" t="str">
        <f t="shared" si="2"/>
        <v/>
      </c>
      <c r="EU7" s="7" t="str">
        <f t="shared" si="2"/>
        <v/>
      </c>
      <c r="EV7" s="7" t="str">
        <f t="shared" si="2"/>
        <v/>
      </c>
      <c r="EW7" s="7" t="str">
        <f t="shared" si="2"/>
        <v/>
      </c>
      <c r="EX7" s="7" t="str">
        <f t="shared" si="2"/>
        <v/>
      </c>
      <c r="EY7" s="7" t="str">
        <f t="shared" si="2"/>
        <v/>
      </c>
      <c r="EZ7" s="7" t="str">
        <f t="shared" si="2"/>
        <v/>
      </c>
      <c r="FA7" s="7" t="str">
        <f t="shared" si="2"/>
        <v/>
      </c>
      <c r="FB7" s="7" t="str">
        <f t="shared" si="2"/>
        <v/>
      </c>
      <c r="FC7" s="7" t="str">
        <f t="shared" si="2"/>
        <v/>
      </c>
      <c r="FD7" s="7" t="str">
        <f t="shared" si="2"/>
        <v/>
      </c>
      <c r="FE7" s="7" t="str">
        <f t="shared" si="2"/>
        <v/>
      </c>
      <c r="FF7" s="7" t="str">
        <f t="shared" si="2"/>
        <v/>
      </c>
      <c r="FG7" s="7" t="str">
        <f t="shared" si="2"/>
        <v/>
      </c>
      <c r="FH7" s="7" t="str">
        <f t="shared" si="2"/>
        <v/>
      </c>
      <c r="FI7" s="7" t="str">
        <f t="shared" si="2"/>
        <v/>
      </c>
      <c r="FJ7" s="7" t="str">
        <f t="shared" si="2"/>
        <v/>
      </c>
      <c r="FK7" s="7" t="str">
        <f t="shared" si="2"/>
        <v/>
      </c>
      <c r="FL7" s="7" t="str">
        <f t="shared" si="2"/>
        <v/>
      </c>
      <c r="FM7" s="7" t="str">
        <f t="shared" si="2"/>
        <v/>
      </c>
      <c r="FN7" s="7" t="str">
        <f t="shared" si="2"/>
        <v/>
      </c>
      <c r="FO7" s="7" t="str">
        <f t="shared" si="2"/>
        <v/>
      </c>
      <c r="FP7" s="7" t="str">
        <f t="shared" si="2"/>
        <v/>
      </c>
      <c r="FQ7" s="7" t="str">
        <f t="shared" si="2"/>
        <v/>
      </c>
      <c r="FR7" s="7" t="str">
        <f t="shared" si="2"/>
        <v/>
      </c>
      <c r="FS7" s="7" t="str">
        <f t="shared" si="2"/>
        <v/>
      </c>
      <c r="FT7" s="7" t="str">
        <f t="shared" si="2"/>
        <v/>
      </c>
      <c r="FU7" s="7" t="str">
        <f t="shared" si="2"/>
        <v/>
      </c>
      <c r="FV7" s="7" t="str">
        <f t="shared" si="2"/>
        <v/>
      </c>
      <c r="FW7" s="7" t="str">
        <f t="shared" si="2"/>
        <v/>
      </c>
      <c r="FX7" s="7" t="str">
        <f t="shared" si="2"/>
        <v/>
      </c>
      <c r="FY7" s="7" t="str">
        <f t="shared" si="2"/>
        <v/>
      </c>
      <c r="FZ7" s="7" t="str">
        <f t="shared" si="2"/>
        <v/>
      </c>
      <c r="GA7" s="7" t="str">
        <f t="shared" si="2"/>
        <v/>
      </c>
      <c r="GB7" s="7" t="str">
        <f t="shared" si="2"/>
        <v/>
      </c>
      <c r="GC7" s="7" t="str">
        <f t="shared" si="2"/>
        <v/>
      </c>
      <c r="GD7" s="7" t="str">
        <f t="shared" si="2"/>
        <v/>
      </c>
      <c r="GE7" s="7" t="str">
        <f t="shared" si="2"/>
        <v/>
      </c>
      <c r="GF7" s="7" t="str">
        <f t="shared" si="2"/>
        <v/>
      </c>
      <c r="GG7" s="7" t="str">
        <f t="shared" si="2"/>
        <v/>
      </c>
      <c r="GH7" s="7" t="str">
        <f t="shared" si="2"/>
        <v/>
      </c>
      <c r="GI7" s="7" t="str">
        <f t="shared" si="2"/>
        <v/>
      </c>
      <c r="GJ7" s="7" t="str">
        <f t="shared" si="2"/>
        <v/>
      </c>
      <c r="GK7" s="7" t="str">
        <f t="shared" si="2"/>
        <v/>
      </c>
      <c r="GL7" s="7" t="str">
        <f t="shared" si="2"/>
        <v/>
      </c>
      <c r="GM7" s="7" t="str">
        <f t="shared" si="2"/>
        <v/>
      </c>
      <c r="GN7" s="7" t="str">
        <f t="shared" ref="GN7:IY7" si="3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GO7" s="7" t="str">
        <f t="shared" si="3"/>
        <v/>
      </c>
      <c r="GP7" s="7" t="str">
        <f t="shared" si="3"/>
        <v/>
      </c>
      <c r="GQ7" s="7" t="str">
        <f t="shared" si="3"/>
        <v/>
      </c>
      <c r="GR7" s="7" t="str">
        <f t="shared" si="3"/>
        <v/>
      </c>
      <c r="GS7" s="7" t="str">
        <f t="shared" si="3"/>
        <v/>
      </c>
      <c r="GT7" s="7" t="str">
        <f t="shared" si="3"/>
        <v/>
      </c>
      <c r="GU7" s="7" t="str">
        <f t="shared" si="3"/>
        <v/>
      </c>
      <c r="GV7" s="7" t="str">
        <f t="shared" si="3"/>
        <v/>
      </c>
      <c r="GW7" s="7" t="str">
        <f t="shared" si="3"/>
        <v/>
      </c>
      <c r="GX7" s="7" t="str">
        <f t="shared" si="3"/>
        <v/>
      </c>
      <c r="GY7" s="7" t="str">
        <f t="shared" si="3"/>
        <v/>
      </c>
      <c r="GZ7" s="7" t="str">
        <f t="shared" si="3"/>
        <v/>
      </c>
      <c r="HA7" s="7" t="str">
        <f t="shared" si="3"/>
        <v/>
      </c>
      <c r="HB7" s="7" t="str">
        <f t="shared" si="3"/>
        <v/>
      </c>
      <c r="HC7" s="7" t="str">
        <f t="shared" si="3"/>
        <v/>
      </c>
      <c r="HD7" s="7" t="str">
        <f t="shared" si="3"/>
        <v/>
      </c>
      <c r="HE7" s="7" t="str">
        <f t="shared" si="3"/>
        <v/>
      </c>
      <c r="HF7" s="7" t="str">
        <f t="shared" si="3"/>
        <v/>
      </c>
      <c r="HG7" s="7" t="str">
        <f t="shared" si="3"/>
        <v/>
      </c>
      <c r="HH7" s="7" t="str">
        <f t="shared" si="3"/>
        <v/>
      </c>
      <c r="HI7" s="7" t="str">
        <f t="shared" si="3"/>
        <v/>
      </c>
      <c r="HJ7" s="7" t="str">
        <f t="shared" si="3"/>
        <v/>
      </c>
      <c r="HK7" s="7" t="str">
        <f t="shared" si="3"/>
        <v/>
      </c>
      <c r="HL7" s="7" t="str">
        <f t="shared" si="3"/>
        <v/>
      </c>
      <c r="HM7" s="7" t="str">
        <f t="shared" si="3"/>
        <v/>
      </c>
      <c r="HN7" s="7" t="str">
        <f t="shared" si="3"/>
        <v/>
      </c>
      <c r="HO7" s="7" t="str">
        <f t="shared" si="3"/>
        <v/>
      </c>
      <c r="HP7" s="7" t="str">
        <f t="shared" si="3"/>
        <v/>
      </c>
      <c r="HQ7" s="7" t="str">
        <f t="shared" si="3"/>
        <v/>
      </c>
      <c r="HR7" s="7" t="str">
        <f t="shared" si="3"/>
        <v/>
      </c>
      <c r="HS7" s="7" t="str">
        <f t="shared" si="3"/>
        <v/>
      </c>
      <c r="HT7" s="7" t="str">
        <f t="shared" si="3"/>
        <v/>
      </c>
      <c r="HU7" s="7" t="str">
        <f t="shared" si="3"/>
        <v/>
      </c>
      <c r="HV7" s="7" t="str">
        <f t="shared" si="3"/>
        <v/>
      </c>
      <c r="HW7" s="7" t="str">
        <f t="shared" si="3"/>
        <v/>
      </c>
      <c r="HX7" s="7" t="str">
        <f t="shared" si="3"/>
        <v/>
      </c>
      <c r="HY7" s="7" t="str">
        <f t="shared" si="3"/>
        <v/>
      </c>
      <c r="HZ7" s="7" t="str">
        <f t="shared" si="3"/>
        <v/>
      </c>
      <c r="IA7" s="7" t="str">
        <f t="shared" si="3"/>
        <v/>
      </c>
      <c r="IB7" s="7" t="str">
        <f t="shared" si="3"/>
        <v/>
      </c>
      <c r="IC7" s="7" t="str">
        <f t="shared" si="3"/>
        <v/>
      </c>
      <c r="ID7" s="7" t="str">
        <f t="shared" si="3"/>
        <v/>
      </c>
      <c r="IE7" s="7" t="str">
        <f t="shared" si="3"/>
        <v/>
      </c>
      <c r="IF7" s="7" t="str">
        <f t="shared" si="3"/>
        <v/>
      </c>
      <c r="IG7" s="7" t="str">
        <f t="shared" si="3"/>
        <v/>
      </c>
      <c r="IH7" s="7" t="str">
        <f t="shared" si="3"/>
        <v/>
      </c>
      <c r="II7" s="7" t="str">
        <f t="shared" si="3"/>
        <v/>
      </c>
      <c r="IJ7" s="7" t="str">
        <f t="shared" si="3"/>
        <v/>
      </c>
      <c r="IK7" s="7" t="str">
        <f t="shared" si="3"/>
        <v/>
      </c>
      <c r="IL7" s="7" t="str">
        <f t="shared" si="3"/>
        <v/>
      </c>
      <c r="IM7" s="7" t="str">
        <f t="shared" si="3"/>
        <v/>
      </c>
      <c r="IN7" s="7" t="str">
        <f t="shared" si="3"/>
        <v/>
      </c>
      <c r="IO7" s="7" t="str">
        <f t="shared" si="3"/>
        <v/>
      </c>
      <c r="IP7" s="7" t="str">
        <f t="shared" si="3"/>
        <v/>
      </c>
      <c r="IQ7" s="7" t="str">
        <f t="shared" si="3"/>
        <v/>
      </c>
      <c r="IR7" s="7" t="str">
        <f t="shared" si="3"/>
        <v/>
      </c>
      <c r="IS7" s="7" t="str">
        <f t="shared" si="3"/>
        <v/>
      </c>
      <c r="IT7" s="7" t="str">
        <f t="shared" si="3"/>
        <v/>
      </c>
      <c r="IU7" s="7" t="str">
        <f t="shared" si="3"/>
        <v/>
      </c>
      <c r="IV7" s="7" t="str">
        <f t="shared" si="3"/>
        <v/>
      </c>
      <c r="IW7" s="7" t="str">
        <f t="shared" si="3"/>
        <v/>
      </c>
      <c r="IX7" s="7" t="str">
        <f t="shared" si="3"/>
        <v/>
      </c>
      <c r="IY7" s="7" t="str">
        <f t="shared" si="3"/>
        <v/>
      </c>
      <c r="IZ7" s="7" t="str">
        <f t="shared" ref="IZ7:LK7" si="4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JA7" s="7" t="str">
        <f t="shared" si="4"/>
        <v/>
      </c>
      <c r="JB7" s="7" t="str">
        <f t="shared" si="4"/>
        <v/>
      </c>
      <c r="JC7" s="7" t="str">
        <f t="shared" si="4"/>
        <v/>
      </c>
      <c r="JD7" s="7" t="str">
        <f t="shared" si="4"/>
        <v/>
      </c>
      <c r="JE7" s="7" t="str">
        <f t="shared" si="4"/>
        <v/>
      </c>
      <c r="JF7" s="7" t="str">
        <f t="shared" si="4"/>
        <v/>
      </c>
      <c r="JG7" s="7" t="str">
        <f t="shared" si="4"/>
        <v/>
      </c>
      <c r="JH7" s="7" t="str">
        <f t="shared" si="4"/>
        <v/>
      </c>
      <c r="JI7" s="7" t="str">
        <f t="shared" si="4"/>
        <v/>
      </c>
      <c r="JJ7" s="7" t="str">
        <f t="shared" si="4"/>
        <v/>
      </c>
      <c r="JK7" s="7" t="str">
        <f t="shared" si="4"/>
        <v/>
      </c>
      <c r="JL7" s="7" t="str">
        <f t="shared" si="4"/>
        <v/>
      </c>
      <c r="JM7" s="7" t="str">
        <f t="shared" si="4"/>
        <v/>
      </c>
      <c r="JN7" s="7" t="str">
        <f t="shared" si="4"/>
        <v/>
      </c>
      <c r="JO7" s="7" t="str">
        <f t="shared" si="4"/>
        <v/>
      </c>
      <c r="JP7" s="7" t="str">
        <f t="shared" si="4"/>
        <v/>
      </c>
      <c r="JQ7" s="7" t="str">
        <f t="shared" si="4"/>
        <v/>
      </c>
      <c r="JR7" s="7" t="str">
        <f t="shared" si="4"/>
        <v/>
      </c>
      <c r="JS7" s="7" t="str">
        <f t="shared" si="4"/>
        <v/>
      </c>
      <c r="JT7" s="7" t="str">
        <f t="shared" si="4"/>
        <v/>
      </c>
      <c r="JU7" s="7" t="str">
        <f t="shared" si="4"/>
        <v/>
      </c>
      <c r="JV7" s="7" t="str">
        <f t="shared" si="4"/>
        <v/>
      </c>
      <c r="JW7" s="7" t="str">
        <f t="shared" si="4"/>
        <v/>
      </c>
      <c r="JX7" s="7" t="str">
        <f t="shared" si="4"/>
        <v/>
      </c>
      <c r="JY7" s="7" t="str">
        <f t="shared" si="4"/>
        <v/>
      </c>
      <c r="JZ7" s="7" t="str">
        <f t="shared" si="4"/>
        <v/>
      </c>
      <c r="KA7" s="7" t="str">
        <f t="shared" si="4"/>
        <v/>
      </c>
      <c r="KB7" s="7" t="str">
        <f t="shared" si="4"/>
        <v/>
      </c>
      <c r="KC7" s="7" t="str">
        <f t="shared" si="4"/>
        <v/>
      </c>
      <c r="KD7" s="7" t="str">
        <f t="shared" si="4"/>
        <v/>
      </c>
      <c r="KE7" s="7" t="str">
        <f t="shared" si="4"/>
        <v/>
      </c>
      <c r="KF7" s="7" t="str">
        <f t="shared" si="4"/>
        <v/>
      </c>
      <c r="KG7" s="7" t="str">
        <f t="shared" si="4"/>
        <v/>
      </c>
      <c r="KH7" s="7" t="str">
        <f t="shared" si="4"/>
        <v/>
      </c>
      <c r="KI7" s="7" t="str">
        <f t="shared" si="4"/>
        <v/>
      </c>
      <c r="KJ7" s="7" t="str">
        <f t="shared" si="4"/>
        <v/>
      </c>
      <c r="KK7" s="7" t="str">
        <f t="shared" si="4"/>
        <v/>
      </c>
      <c r="KL7" s="7" t="str">
        <f t="shared" si="4"/>
        <v/>
      </c>
      <c r="KM7" s="7" t="str">
        <f t="shared" si="4"/>
        <v/>
      </c>
      <c r="KN7" s="7" t="str">
        <f t="shared" si="4"/>
        <v/>
      </c>
      <c r="KO7" s="7" t="str">
        <f t="shared" si="4"/>
        <v/>
      </c>
      <c r="KP7" s="7" t="str">
        <f t="shared" si="4"/>
        <v/>
      </c>
      <c r="KQ7" s="7" t="str">
        <f t="shared" si="4"/>
        <v/>
      </c>
      <c r="KR7" s="7" t="str">
        <f t="shared" si="4"/>
        <v/>
      </c>
      <c r="KS7" s="7" t="str">
        <f t="shared" si="4"/>
        <v/>
      </c>
      <c r="KT7" s="7" t="str">
        <f t="shared" si="4"/>
        <v/>
      </c>
      <c r="KU7" s="7" t="str">
        <f t="shared" si="4"/>
        <v/>
      </c>
      <c r="KV7" s="7" t="str">
        <f t="shared" si="4"/>
        <v/>
      </c>
      <c r="KW7" s="7" t="str">
        <f t="shared" si="4"/>
        <v/>
      </c>
      <c r="KX7" s="7" t="str">
        <f t="shared" si="4"/>
        <v/>
      </c>
      <c r="KY7" s="7" t="str">
        <f t="shared" si="4"/>
        <v/>
      </c>
      <c r="KZ7" s="7" t="str">
        <f t="shared" si="4"/>
        <v/>
      </c>
      <c r="LA7" s="7" t="str">
        <f t="shared" si="4"/>
        <v/>
      </c>
      <c r="LB7" s="7" t="str">
        <f t="shared" si="4"/>
        <v/>
      </c>
      <c r="LC7" s="7" t="str">
        <f t="shared" si="4"/>
        <v/>
      </c>
      <c r="LD7" s="7" t="str">
        <f t="shared" si="4"/>
        <v/>
      </c>
      <c r="LE7" s="7" t="str">
        <f t="shared" si="4"/>
        <v/>
      </c>
      <c r="LF7" s="7" t="str">
        <f t="shared" si="4"/>
        <v/>
      </c>
      <c r="LG7" s="7" t="str">
        <f t="shared" si="4"/>
        <v/>
      </c>
      <c r="LH7" s="7" t="str">
        <f t="shared" si="4"/>
        <v/>
      </c>
      <c r="LI7" s="7" t="str">
        <f t="shared" si="4"/>
        <v/>
      </c>
      <c r="LJ7" s="7" t="str">
        <f t="shared" si="4"/>
        <v/>
      </c>
      <c r="LK7" s="7" t="str">
        <f t="shared" si="4"/>
        <v/>
      </c>
      <c r="LL7" s="7" t="str">
        <f t="shared" ref="LL7:NJ7" si="5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LM7" s="7" t="str">
        <f t="shared" si="5"/>
        <v/>
      </c>
      <c r="LN7" s="7" t="str">
        <f t="shared" si="5"/>
        <v/>
      </c>
      <c r="LO7" s="7" t="str">
        <f t="shared" si="5"/>
        <v/>
      </c>
      <c r="LP7" s="7" t="str">
        <f t="shared" si="5"/>
        <v/>
      </c>
      <c r="LQ7" s="7" t="str">
        <f t="shared" si="5"/>
        <v/>
      </c>
      <c r="LR7" s="7" t="str">
        <f t="shared" si="5"/>
        <v/>
      </c>
      <c r="LS7" s="7" t="str">
        <f t="shared" si="5"/>
        <v/>
      </c>
      <c r="LT7" s="7" t="str">
        <f t="shared" si="5"/>
        <v/>
      </c>
      <c r="LU7" s="7" t="str">
        <f t="shared" si="5"/>
        <v/>
      </c>
      <c r="LV7" s="7" t="str">
        <f t="shared" si="5"/>
        <v/>
      </c>
      <c r="LW7" s="7" t="str">
        <f t="shared" si="5"/>
        <v/>
      </c>
      <c r="LX7" s="7" t="str">
        <f t="shared" si="5"/>
        <v/>
      </c>
      <c r="LY7" s="7" t="str">
        <f t="shared" si="5"/>
        <v/>
      </c>
      <c r="LZ7" s="7" t="str">
        <f t="shared" si="5"/>
        <v/>
      </c>
      <c r="MA7" s="7" t="str">
        <f t="shared" si="5"/>
        <v/>
      </c>
      <c r="MB7" s="7" t="str">
        <f t="shared" si="5"/>
        <v/>
      </c>
      <c r="MC7" s="7" t="str">
        <f t="shared" si="5"/>
        <v/>
      </c>
      <c r="MD7" s="7" t="str">
        <f t="shared" si="5"/>
        <v/>
      </c>
      <c r="ME7" s="7" t="str">
        <f t="shared" si="5"/>
        <v/>
      </c>
      <c r="MF7" s="7" t="str">
        <f t="shared" si="5"/>
        <v/>
      </c>
      <c r="MG7" s="7" t="str">
        <f t="shared" si="5"/>
        <v/>
      </c>
      <c r="MH7" s="7" t="str">
        <f t="shared" si="5"/>
        <v/>
      </c>
      <c r="MI7" s="7" t="str">
        <f t="shared" si="5"/>
        <v/>
      </c>
      <c r="MJ7" s="7" t="str">
        <f t="shared" si="5"/>
        <v/>
      </c>
      <c r="MK7" s="7" t="str">
        <f t="shared" si="5"/>
        <v/>
      </c>
      <c r="ML7" s="7" t="str">
        <f t="shared" si="5"/>
        <v/>
      </c>
      <c r="MM7" s="7" t="str">
        <f t="shared" si="5"/>
        <v/>
      </c>
      <c r="MN7" s="7" t="str">
        <f t="shared" si="5"/>
        <v/>
      </c>
      <c r="MO7" s="7" t="str">
        <f t="shared" si="5"/>
        <v/>
      </c>
      <c r="MP7" s="7" t="str">
        <f t="shared" si="5"/>
        <v/>
      </c>
      <c r="MQ7" s="7" t="str">
        <f t="shared" si="5"/>
        <v/>
      </c>
      <c r="MR7" s="7" t="str">
        <f t="shared" si="5"/>
        <v/>
      </c>
      <c r="MS7" s="7" t="str">
        <f t="shared" si="5"/>
        <v/>
      </c>
      <c r="MT7" s="7" t="str">
        <f t="shared" si="5"/>
        <v/>
      </c>
      <c r="MU7" s="7" t="str">
        <f t="shared" si="5"/>
        <v/>
      </c>
      <c r="MV7" s="7" t="str">
        <f t="shared" si="5"/>
        <v/>
      </c>
      <c r="MW7" s="7" t="str">
        <f t="shared" si="5"/>
        <v/>
      </c>
      <c r="MX7" s="7" t="str">
        <f t="shared" si="5"/>
        <v/>
      </c>
      <c r="MY7" s="7" t="str">
        <f t="shared" si="5"/>
        <v/>
      </c>
      <c r="MZ7" s="7" t="str">
        <f t="shared" si="5"/>
        <v/>
      </c>
      <c r="NA7" s="7" t="str">
        <f t="shared" si="5"/>
        <v/>
      </c>
      <c r="NB7" s="7" t="str">
        <f t="shared" si="5"/>
        <v/>
      </c>
      <c r="NC7" s="7" t="str">
        <f t="shared" si="5"/>
        <v/>
      </c>
      <c r="ND7" s="7" t="str">
        <f t="shared" si="5"/>
        <v/>
      </c>
      <c r="NE7" s="7" t="str">
        <f t="shared" si="5"/>
        <v/>
      </c>
      <c r="NF7" s="7" t="str">
        <f t="shared" si="5"/>
        <v/>
      </c>
      <c r="NG7" s="7" t="str">
        <f t="shared" si="5"/>
        <v/>
      </c>
      <c r="NH7" s="7" t="str">
        <f t="shared" si="5"/>
        <v/>
      </c>
      <c r="NI7" s="7" t="str">
        <f t="shared" si="5"/>
        <v/>
      </c>
      <c r="NJ7" s="7" t="str">
        <f t="shared" si="5"/>
        <v/>
      </c>
      <c r="NK7" s="80" t="s">
        <v>32</v>
      </c>
      <c r="NL7" s="82" t="s">
        <v>33</v>
      </c>
      <c r="NM7" s="84" t="s">
        <v>57</v>
      </c>
      <c r="NN7" s="84" t="s">
        <v>51</v>
      </c>
      <c r="NO7" s="84" t="s">
        <v>35</v>
      </c>
      <c r="NP7" s="84" t="s">
        <v>36</v>
      </c>
      <c r="NQ7" s="84" t="s">
        <v>58</v>
      </c>
      <c r="NR7" s="84" t="s">
        <v>27</v>
      </c>
      <c r="NS7" s="84" t="s">
        <v>37</v>
      </c>
    </row>
    <row r="8" spans="1:762" x14ac:dyDescent="0.35">
      <c r="B8" s="25" t="s">
        <v>28</v>
      </c>
      <c r="C8" s="27" t="str">
        <f>IF(C$7="","",VLOOKUP(WEEKDAY(DATE($B$4,$B$5+$B$3-1,C7),2),Sheet3!$D$1:$E$7,2,0))</f>
        <v/>
      </c>
      <c r="D8" s="27" t="str">
        <f>IF(D$7="","",VLOOKUP(WEEKDAY(DATE($B$4,$B$5+$B$3-1,D7),2),Sheet3!$D$1:$E$7,2,0))</f>
        <v/>
      </c>
      <c r="E8" s="27" t="str">
        <f>IF(E$7="","",VLOOKUP(WEEKDAY(DATE($B$4,$B$5+$B$3-1,E7),2),Sheet3!$D$1:$E$7,2,0))</f>
        <v/>
      </c>
      <c r="F8" s="27" t="str">
        <f>IF(F$7="","",VLOOKUP(WEEKDAY(DATE($B$4,$B$5+$B$3-1,F7),2),Sheet3!$D$1:$E$7,2,0))</f>
        <v/>
      </c>
      <c r="G8" s="27" t="str">
        <f>IF(G$7="","",VLOOKUP(WEEKDAY(DATE($B$4,$B$5+$B$3-1,G7),2),Sheet3!$D$1:$E$7,2,0))</f>
        <v/>
      </c>
      <c r="H8" s="27" t="str">
        <f>IF(H$7="","",VLOOKUP(WEEKDAY(DATE($B$4,$B$5+$B$3-1,H7),2),Sheet3!$D$1:$E$7,2,0))</f>
        <v/>
      </c>
      <c r="I8" s="27" t="str">
        <f>IF(I$7="","",VLOOKUP(WEEKDAY(DATE($B$4,$B$5+$B$3-1,I7),2),Sheet3!$D$1:$E$7,2,0))</f>
        <v/>
      </c>
      <c r="J8" s="27" t="str">
        <f>IF(J$7="","",VLOOKUP(WEEKDAY(DATE($B$4,$B$5+$B$3-1,J7),2),Sheet3!$D$1:$E$7,2,0))</f>
        <v/>
      </c>
      <c r="K8" s="27" t="str">
        <f>IF(K$7="","",VLOOKUP(WEEKDAY(DATE($B$4,$B$5+$B$3-1,K7),2),Sheet3!$D$1:$E$7,2,0))</f>
        <v/>
      </c>
      <c r="L8" s="27" t="str">
        <f>IF(L$7="","",VLOOKUP(WEEKDAY(DATE($B$4,$B$5+$B$3-1,L7),2),Sheet3!$D$1:$E$7,2,0))</f>
        <v/>
      </c>
      <c r="M8" s="27" t="str">
        <f>IF(M$7="","",VLOOKUP(WEEKDAY(DATE($B$4,$B$5+$B$3-1,M7),2),Sheet3!$D$1:$E$7,2,0))</f>
        <v/>
      </c>
      <c r="N8" s="27" t="str">
        <f>IF(N$7="","",VLOOKUP(WEEKDAY(DATE($B$4,$B$5+$B$3-1,N7),2),Sheet3!$D$1:$E$7,2,0))</f>
        <v/>
      </c>
      <c r="O8" s="27" t="str">
        <f>IF(O$7="","",VLOOKUP(WEEKDAY(DATE($B$4,$B$5+$B$3-1,O7),2),Sheet3!$D$1:$E$7,2,0))</f>
        <v/>
      </c>
      <c r="P8" s="27" t="str">
        <f>IF(P$7="","",VLOOKUP(WEEKDAY(DATE($B$4,$B$5+$B$3-1,P7),2),Sheet3!$D$1:$E$7,2,0))</f>
        <v/>
      </c>
      <c r="Q8" s="27" t="str">
        <f>IF(Q$7="","",VLOOKUP(WEEKDAY(DATE($B$4,$B$5+$B$3-1,Q7),2),Sheet3!$D$1:$E$7,2,0))</f>
        <v/>
      </c>
      <c r="R8" s="27" t="str">
        <f>IF(R$7="","",VLOOKUP(WEEKDAY(DATE($B$4,$B$5+$B$3-1,R7),2),Sheet3!$D$1:$E$7,2,0))</f>
        <v/>
      </c>
      <c r="S8" s="27" t="str">
        <f>IF(S$7="","",VLOOKUP(WEEKDAY(DATE($B$4,$B$5+$B$3-1,S7),2),Sheet3!$D$1:$E$7,2,0))</f>
        <v/>
      </c>
      <c r="T8" s="27" t="str">
        <f>IF(T$7="","",VLOOKUP(WEEKDAY(DATE($B$4,$B$5+$B$3-1,T7),2),Sheet3!$D$1:$E$7,2,0))</f>
        <v/>
      </c>
      <c r="U8" s="27" t="str">
        <f>IF(U$7="","",VLOOKUP(WEEKDAY(DATE($B$4,$B$5+$B$3-1,U7),2),Sheet3!$D$1:$E$7,2,0))</f>
        <v/>
      </c>
      <c r="V8" s="27" t="str">
        <f>IF(V$7="","",VLOOKUP(WEEKDAY(DATE($B$4,$B$5+$B$3-1,V7),2),Sheet3!$D$1:$E$7,2,0))</f>
        <v/>
      </c>
      <c r="W8" s="27" t="str">
        <f>IF(W$7="","",VLOOKUP(WEEKDAY(DATE($B$4,$B$5+$B$3-1,W7),2),Sheet3!$D$1:$E$7,2,0))</f>
        <v/>
      </c>
      <c r="X8" s="27" t="str">
        <f>IF(X$7="","",VLOOKUP(WEEKDAY(DATE($B$4,$B$5+$B$3-1,X7),2),Sheet3!$D$1:$E$7,2,0))</f>
        <v/>
      </c>
      <c r="Y8" s="27" t="str">
        <f>IF(Y$7="","",VLOOKUP(WEEKDAY(DATE($B$4,$B$5+$B$3-1,Y7),2),Sheet3!$D$1:$E$7,2,0))</f>
        <v/>
      </c>
      <c r="Z8" s="27" t="str">
        <f>IF(Z$7="","",VLOOKUP(WEEKDAY(DATE($B$4,$B$5+$B$3-1,Z7),2),Sheet3!$D$1:$E$7,2,0))</f>
        <v/>
      </c>
      <c r="AA8" s="27" t="str">
        <f>IF(AA$7="","",VLOOKUP(WEEKDAY(DATE($B$4,$B$5+$B$3-1,AA7),2),Sheet3!$D$1:$E$7,2,0))</f>
        <v/>
      </c>
      <c r="AB8" s="27" t="str">
        <f>IF(AB$7="","",VLOOKUP(WEEKDAY(DATE($B$4,$B$5+$B$3-1,AB7),2),Sheet3!$D$1:$E$7,2,0))</f>
        <v/>
      </c>
      <c r="AC8" s="27" t="str">
        <f>IF(AC$7="","",VLOOKUP(WEEKDAY(DATE($B$4,$B$5+$B$3-1,AC7),2),Sheet3!$D$1:$E$7,2,0))</f>
        <v/>
      </c>
      <c r="AD8" s="27" t="str">
        <f>IF(AD$7="","",VLOOKUP(WEEKDAY(DATE($B$4,$B$5+$B$3-1,AD7),2),Sheet3!$D$1:$E$7,2,0))</f>
        <v/>
      </c>
      <c r="AE8" s="27" t="str">
        <f>IF(AE$7="","",VLOOKUP(WEEKDAY(DATE($B$4,$B$5+$B$3-1,AE7),2),Sheet3!$D$1:$E$7,2,0))</f>
        <v/>
      </c>
      <c r="AF8" s="27" t="str">
        <f>IF(AF$7="","",VLOOKUP(WEEKDAY(DATE($B$4,$B$5+$B$3-1,AF7),2),Sheet3!$D$1:$E$7,2,0))</f>
        <v/>
      </c>
      <c r="AG8" s="27" t="str">
        <f>IF(AG$7="","",VLOOKUP(WEEKDAY(DATE($B$4,$B$5+$B$3-1,AG7),2),Sheet3!$D$1:$E$7,2,0))</f>
        <v>Wed</v>
      </c>
      <c r="AH8" s="9" t="str">
        <f>IF(AH$7="","",VLOOKUP(WEEKDAY(DATE($B$4,$B$5+$B$3-1,AH7),2),Sheet3!$D$1:$E$7,2,0))</f>
        <v>Thu</v>
      </c>
      <c r="AI8" s="9" t="str">
        <f>IF(AI$7="","",VLOOKUP(WEEKDAY(DATE($B$4,$B$5+$B$3-1,AI7),2),Sheet3!$D$1:$E$7,2,0))</f>
        <v>Fri</v>
      </c>
      <c r="AJ8" s="9" t="str">
        <f>IF(AJ$7="","",VLOOKUP(WEEKDAY(DATE($B$4,$B$5+$B$3-1,AJ7),2),Sheet3!$D$1:$E$7,2,0))</f>
        <v>Sat</v>
      </c>
      <c r="AK8" s="9" t="str">
        <f>IF(AK$7="","",VLOOKUP(WEEKDAY(DATE($B$4,$B$5+$B$3-1,AK7),2),Sheet3!$D$1:$E$7,2,0))</f>
        <v>Sun</v>
      </c>
      <c r="AL8" s="9" t="str">
        <f>IF(AL$7="","",VLOOKUP(WEEKDAY(DATE($B$4,$B$5+$B$3-1,AL7),2),Sheet3!$D$1:$E$7,2,0))</f>
        <v>Mon</v>
      </c>
      <c r="AM8" s="9" t="str">
        <f>IF(AM$7="","",VLOOKUP(WEEKDAY(DATE($B$4,$B$5+$B$3-1,AM7),2),Sheet3!$D$1:$E$7,2,0))</f>
        <v>Tue</v>
      </c>
      <c r="AN8" s="9" t="str">
        <f>IF(AN$7="","",VLOOKUP(WEEKDAY(DATE($B$4,$B$5+$B$3-1,AN7),2),Sheet3!$D$1:$E$7,2,0))</f>
        <v>Wed</v>
      </c>
      <c r="AO8" s="9" t="str">
        <f>IF(AO$7="","",VLOOKUP(WEEKDAY(DATE($B$4,$B$5+$B$3-1,AO7),2),Sheet3!$D$1:$E$7,2,0))</f>
        <v>Thu</v>
      </c>
      <c r="AP8" s="9" t="str">
        <f>IF(AP$7="","",VLOOKUP(WEEKDAY(DATE($B$4,$B$5+$B$3-1,AP7),2),Sheet3!$D$1:$E$7,2,0))</f>
        <v>Fri</v>
      </c>
      <c r="AQ8" s="9" t="str">
        <f>IF(AQ$7="","",VLOOKUP(WEEKDAY(DATE($B$4,$B$5+$B$3-1,AQ7),2),Sheet3!$D$1:$E$7,2,0))</f>
        <v>Sat</v>
      </c>
      <c r="AR8" s="9" t="str">
        <f>IF(AR$7="","",VLOOKUP(WEEKDAY(DATE($B$4,$B$5+$B$3-1,AR7),2),Sheet3!$D$1:$E$7,2,0))</f>
        <v>Sun</v>
      </c>
      <c r="AS8" s="9" t="str">
        <f>IF(AS$7="","",VLOOKUP(WEEKDAY(DATE($B$4,$B$5+$B$3-1,AS7),2),Sheet3!$D$1:$E$7,2,0))</f>
        <v>Mon</v>
      </c>
      <c r="AT8" s="9" t="str">
        <f>IF(AT$7="","",VLOOKUP(WEEKDAY(DATE($B$4,$B$5+$B$3-1,AT7),2),Sheet3!$D$1:$E$7,2,0))</f>
        <v>Tue</v>
      </c>
      <c r="AU8" s="9" t="str">
        <f>IF(AU$7="","",VLOOKUP(WEEKDAY(DATE($B$4,$B$5+$B$3-1,AU7),2),Sheet3!$D$1:$E$7,2,0))</f>
        <v>Wed</v>
      </c>
      <c r="AV8" s="9" t="str">
        <f>IF(AV$7="","",VLOOKUP(WEEKDAY(DATE($B$4,$B$5+$B$3-1,AV7),2),Sheet3!$D$1:$E$7,2,0))</f>
        <v>Thu</v>
      </c>
      <c r="AW8" s="9" t="str">
        <f>IF(AW$7="","",VLOOKUP(WEEKDAY(DATE($B$4,$B$5+$B$3-1,AW7),2),Sheet3!$D$1:$E$7,2,0))</f>
        <v>Fri</v>
      </c>
      <c r="AX8" s="9" t="str">
        <f>IF(AX$7="","",VLOOKUP(WEEKDAY(DATE($B$4,$B$5+$B$3-1,AX7),2),Sheet3!$D$1:$E$7,2,0))</f>
        <v>Sat</v>
      </c>
      <c r="AY8" s="9" t="str">
        <f>IF(AY$7="","",VLOOKUP(WEEKDAY(DATE($B$4,$B$5+$B$3-1,AY7),2),Sheet3!$D$1:$E$7,2,0))</f>
        <v>Sun</v>
      </c>
      <c r="AZ8" s="9" t="str">
        <f>IF(AZ$7="","",VLOOKUP(WEEKDAY(DATE($B$4,$B$5+$B$3-1,AZ7),2),Sheet3!$D$1:$E$7,2,0))</f>
        <v>Mon</v>
      </c>
      <c r="BA8" s="9" t="str">
        <f>IF(BA$7="","",VLOOKUP(WEEKDAY(DATE($B$4,$B$5+$B$3-1,BA7),2),Sheet3!$D$1:$E$7,2,0))</f>
        <v>Tue</v>
      </c>
      <c r="BB8" s="9" t="str">
        <f>IF(BB$7="","",VLOOKUP(WEEKDAY(DATE($B$4,$B$5+$B$3-1,BB7),2),Sheet3!$D$1:$E$7,2,0))</f>
        <v>Wed</v>
      </c>
      <c r="BC8" s="9" t="str">
        <f>IF(BC$7="","",VLOOKUP(WEEKDAY(DATE($B$4,$B$5+$B$3-1,BC7),2),Sheet3!$D$1:$E$7,2,0))</f>
        <v>Thu</v>
      </c>
      <c r="BD8" s="9" t="str">
        <f>IF(BD$7="","",VLOOKUP(WEEKDAY(DATE($B$4,$B$5+$B$3-1,BD7),2),Sheet3!$D$1:$E$7,2,0))</f>
        <v>Fri</v>
      </c>
      <c r="BE8" s="9" t="str">
        <f>IF(BE$7="","",VLOOKUP(WEEKDAY(DATE($B$4,$B$5+$B$3-1,BE7),2),Sheet3!$D$1:$E$7,2,0))</f>
        <v>Sat</v>
      </c>
      <c r="BF8" s="9" t="str">
        <f>IF(BF$7="","",VLOOKUP(WEEKDAY(DATE($B$4,$B$5+$B$3-1,BF7),2),Sheet3!$D$1:$E$7,2,0))</f>
        <v>Sun</v>
      </c>
      <c r="BG8" s="9" t="str">
        <f>IF(BG$7="","",VLOOKUP(WEEKDAY(DATE($B$4,$B$5+$B$3-1,BG7),2),Sheet3!$D$1:$E$7,2,0))</f>
        <v>Mon</v>
      </c>
      <c r="BH8" s="9" t="str">
        <f>IF(BH$7="","",VLOOKUP(WEEKDAY(DATE($B$4,$B$5+$B$3-1,BH7),2),Sheet3!$D$1:$E$7,2,0))</f>
        <v>Tue</v>
      </c>
      <c r="BI8" s="9" t="str">
        <f>IF(BI$7="","",VLOOKUP(WEEKDAY(DATE($B$4,$B$5+$B$3-1,BI7),2),Sheet3!$D$1:$E$7,2,0))</f>
        <v/>
      </c>
      <c r="BJ8" s="9" t="str">
        <f>IF(BJ$7="","",VLOOKUP(WEEKDAY(DATE($B$4,$B$5+$B$3-1,BJ7),2),Sheet3!$D$1:$E$7,2,0))</f>
        <v/>
      </c>
      <c r="BK8" s="9" t="str">
        <f>IF(BK$7="","",VLOOKUP(WEEKDAY(DATE($B$4,$B$5+$B$3-1,BK7),2),Sheet3!$D$1:$E$7,2,0))</f>
        <v/>
      </c>
      <c r="BL8" s="9" t="str">
        <f>IF(BL$7="","",VLOOKUP(WEEKDAY(DATE($B$4,$B$5+$B$3-1,BL7),2),Sheet3!$D$1:$E$7,2,0))</f>
        <v/>
      </c>
      <c r="BM8" s="9" t="str">
        <f>IF(BM$7="","",VLOOKUP(WEEKDAY(DATE($B$4,$B$5+$B$3-1,BM7),2),Sheet3!$D$1:$E$7,2,0))</f>
        <v/>
      </c>
      <c r="BN8" s="9" t="str">
        <f>IF(BN$7="","",VLOOKUP(WEEKDAY(DATE($B$4,$B$5+$B$3-1,BN7),2),Sheet3!$D$1:$E$7,2,0))</f>
        <v/>
      </c>
      <c r="BO8" s="9" t="str">
        <f>IF(BO$7="","",VLOOKUP(WEEKDAY(DATE($B$4,$B$5+$B$3-1,BO7),2),Sheet3!$D$1:$E$7,2,0))</f>
        <v/>
      </c>
      <c r="BP8" s="9" t="str">
        <f>IF(BP$7="","",VLOOKUP(WEEKDAY(DATE($B$4,$B$5+$B$3-1,BP7),2),Sheet3!$D$1:$E$7,2,0))</f>
        <v/>
      </c>
      <c r="BQ8" s="9" t="str">
        <f>IF(BQ$7="","",VLOOKUP(WEEKDAY(DATE($B$4,$B$5+$B$3-1,BQ7),2),Sheet3!$D$1:$E$7,2,0))</f>
        <v/>
      </c>
      <c r="BR8" s="9" t="str">
        <f>IF(BR$7="","",VLOOKUP(WEEKDAY(DATE($B$4,$B$5+$B$3-1,BR7),2),Sheet3!$D$1:$E$7,2,0))</f>
        <v/>
      </c>
      <c r="BS8" s="9" t="str">
        <f>IF(BS$7="","",VLOOKUP(WEEKDAY(DATE($B$4,$B$5+$B$3-1,BS7),2),Sheet3!$D$1:$E$7,2,0))</f>
        <v/>
      </c>
      <c r="BT8" s="9" t="str">
        <f>IF(BT$7="","",VLOOKUP(WEEKDAY(DATE($B$4,$B$5+$B$3-1,BT7),2),Sheet3!$D$1:$E$7,2,0))</f>
        <v/>
      </c>
      <c r="BU8" s="9" t="str">
        <f>IF(BU$7="","",VLOOKUP(WEEKDAY(DATE($B$4,$B$5+$B$3-1,BU7),2),Sheet3!$D$1:$E$7,2,0))</f>
        <v/>
      </c>
      <c r="BV8" s="9" t="str">
        <f>IF(BV$7="","",VLOOKUP(WEEKDAY(DATE($B$4,$B$5+$B$3-1,BV7),2),Sheet3!$D$1:$E$7,2,0))</f>
        <v/>
      </c>
      <c r="BW8" s="9" t="str">
        <f>IF(BW$7="","",VLOOKUP(WEEKDAY(DATE($B$4,$B$5+$B$3-1,BW7),2),Sheet3!$D$1:$E$7,2,0))</f>
        <v/>
      </c>
      <c r="BX8" s="9" t="str">
        <f>IF(BX$7="","",VLOOKUP(WEEKDAY(DATE($B$4,$B$5+$B$3-1,BX7),2),Sheet3!$D$1:$E$7,2,0))</f>
        <v/>
      </c>
      <c r="BY8" s="9" t="str">
        <f>IF(BY$7="","",VLOOKUP(WEEKDAY(DATE($B$4,$B$5+$B$3-1,BY7),2),Sheet3!$D$1:$E$7,2,0))</f>
        <v/>
      </c>
      <c r="BZ8" s="9" t="str">
        <f>IF(BZ$7="","",VLOOKUP(WEEKDAY(DATE($B$4,$B$5+$B$3-1,BZ7),2),Sheet3!$D$1:$E$7,2,0))</f>
        <v/>
      </c>
      <c r="CA8" s="9" t="str">
        <f>IF(CA$7="","",VLOOKUP(WEEKDAY(DATE($B$4,$B$5+$B$3-1,CA7),2),Sheet3!$D$1:$E$7,2,0))</f>
        <v/>
      </c>
      <c r="CB8" s="9" t="str">
        <f>IF(CB$7="","",VLOOKUP(WEEKDAY(DATE($B$4,$B$5+$B$3-1,CB7),2),Sheet3!$D$1:$E$7,2,0))</f>
        <v/>
      </c>
      <c r="CC8" s="9" t="str">
        <f>IF(CC$7="","",VLOOKUP(WEEKDAY(DATE($B$4,$B$5+$B$3-1,CC7),2),Sheet3!$D$1:$E$7,2,0))</f>
        <v/>
      </c>
      <c r="CD8" s="9" t="str">
        <f>IF(CD$7="","",VLOOKUP(WEEKDAY(DATE($B$4,$B$5+$B$3-1,CD7),2),Sheet3!$D$1:$E$7,2,0))</f>
        <v/>
      </c>
      <c r="CE8" s="9" t="str">
        <f>IF(CE$7="","",VLOOKUP(WEEKDAY(DATE($B$4,$B$5+$B$3-1,CE7),2),Sheet3!$D$1:$E$7,2,0))</f>
        <v/>
      </c>
      <c r="CF8" s="9" t="str">
        <f>IF(CF$7="","",VLOOKUP(WEEKDAY(DATE($B$4,$B$5+$B$3-1,CF7),2),Sheet3!$D$1:$E$7,2,0))</f>
        <v/>
      </c>
      <c r="CG8" s="9" t="str">
        <f>IF(CG$7="","",VLOOKUP(WEEKDAY(DATE($B$4,$B$5+$B$3-1,CG7),2),Sheet3!$D$1:$E$7,2,0))</f>
        <v/>
      </c>
      <c r="CH8" s="9" t="str">
        <f>IF(CH$7="","",VLOOKUP(WEEKDAY(DATE($B$4,$B$5+$B$3-1,CH7),2),Sheet3!$D$1:$E$7,2,0))</f>
        <v/>
      </c>
      <c r="CI8" s="9" t="str">
        <f>IF(CI$7="","",VLOOKUP(WEEKDAY(DATE($B$4,$B$5+$B$3-1,CI7),2),Sheet3!$D$1:$E$7,2,0))</f>
        <v/>
      </c>
      <c r="CJ8" s="9" t="str">
        <f>IF(CJ$7="","",VLOOKUP(WEEKDAY(DATE($B$4,$B$5+$B$3-1,CJ7),2),Sheet3!$D$1:$E$7,2,0))</f>
        <v/>
      </c>
      <c r="CK8" s="9" t="str">
        <f>IF(CK$7="","",VLOOKUP(WEEKDAY(DATE($B$4,$B$5+$B$3-1,CK7),2),Sheet3!$D$1:$E$7,2,0))</f>
        <v/>
      </c>
      <c r="CL8" s="9" t="str">
        <f>IF(CL$7="","",VLOOKUP(WEEKDAY(DATE($B$4,$B$5+$B$3-1,CL7),2),Sheet3!$D$1:$E$7,2,0))</f>
        <v/>
      </c>
      <c r="CM8" s="9" t="str">
        <f>IF(CM$7="","",VLOOKUP(WEEKDAY(DATE($B$4,$B$5+$B$3-1,CM7),2),Sheet3!$D$1:$E$7,2,0))</f>
        <v/>
      </c>
      <c r="CN8" s="9" t="str">
        <f>IF(CN$7="","",VLOOKUP(WEEKDAY(DATE($B$4,$B$5+$B$3-1,CN7),2),Sheet3!$D$1:$E$7,2,0))</f>
        <v/>
      </c>
      <c r="CO8" s="9" t="str">
        <f>IF(CO$7="","",VLOOKUP(WEEKDAY(DATE($B$4,$B$5+$B$3-1,CO7),2),Sheet3!$D$1:$E$7,2,0))</f>
        <v/>
      </c>
      <c r="CP8" s="9" t="str">
        <f>IF(CP$7="","",VLOOKUP(WEEKDAY(DATE($B$4,$B$5+$B$3-1,CP7),2),Sheet3!$D$1:$E$7,2,0))</f>
        <v/>
      </c>
      <c r="CQ8" s="9" t="str">
        <f>IF(CQ$7="","",VLOOKUP(WEEKDAY(DATE($B$4,$B$5+$B$3-1,CQ7),2),Sheet3!$D$1:$E$7,2,0))</f>
        <v/>
      </c>
      <c r="CR8" s="9" t="str">
        <f>IF(CR$7="","",VLOOKUP(WEEKDAY(DATE($B$4,$B$5+$B$3-1,CR7),2),Sheet3!$D$1:$E$7,2,0))</f>
        <v/>
      </c>
      <c r="CS8" s="9" t="str">
        <f>IF(CS$7="","",VLOOKUP(WEEKDAY(DATE($B$4,$B$5+$B$3-1,CS7),2),Sheet3!$D$1:$E$7,2,0))</f>
        <v/>
      </c>
      <c r="CT8" s="9" t="str">
        <f>IF(CT$7="","",VLOOKUP(WEEKDAY(DATE($B$4,$B$5+$B$3-1,CT7),2),Sheet3!$D$1:$E$7,2,0))</f>
        <v/>
      </c>
      <c r="CU8" s="9" t="str">
        <f>IF(CU$7="","",VLOOKUP(WEEKDAY(DATE($B$4,$B$5+$B$3-1,CU7),2),Sheet3!$D$1:$E$7,2,0))</f>
        <v/>
      </c>
      <c r="CV8" s="9" t="str">
        <f>IF(CV$7="","",VLOOKUP(WEEKDAY(DATE($B$4,$B$5+$B$3-1,CV7),2),Sheet3!$D$1:$E$7,2,0))</f>
        <v/>
      </c>
      <c r="CW8" s="9" t="str">
        <f>IF(CW$7="","",VLOOKUP(WEEKDAY(DATE($B$4,$B$5+$B$3-1,CW7),2),Sheet3!$D$1:$E$7,2,0))</f>
        <v/>
      </c>
      <c r="CX8" s="9" t="str">
        <f>IF(CX$7="","",VLOOKUP(WEEKDAY(DATE($B$4,$B$5+$B$3-1,CX7),2),Sheet3!$D$1:$E$7,2,0))</f>
        <v/>
      </c>
      <c r="CY8" s="9" t="str">
        <f>IF(CY$7="","",VLOOKUP(WEEKDAY(DATE($B$4,$B$5+$B$3-1,CY7),2),Sheet3!$D$1:$E$7,2,0))</f>
        <v/>
      </c>
      <c r="CZ8" s="9" t="str">
        <f>IF(CZ$7="","",VLOOKUP(WEEKDAY(DATE($B$4,$B$5+$B$3-1,CZ7),2),Sheet3!$D$1:$E$7,2,0))</f>
        <v/>
      </c>
      <c r="DA8" s="9" t="str">
        <f>IF(DA$7="","",VLOOKUP(WEEKDAY(DATE($B$4,$B$5+$B$3-1,DA7),2),Sheet3!$D$1:$E$7,2,0))</f>
        <v/>
      </c>
      <c r="DB8" s="9" t="str">
        <f>IF(DB$7="","",VLOOKUP(WEEKDAY(DATE($B$4,$B$5+$B$3-1,DB7),2),Sheet3!$D$1:$E$7,2,0))</f>
        <v/>
      </c>
      <c r="DC8" s="9" t="str">
        <f>IF(DC$7="","",VLOOKUP(WEEKDAY(DATE($B$4,$B$5+$B$3-1,DC7),2),Sheet3!$D$1:$E$7,2,0))</f>
        <v/>
      </c>
      <c r="DD8" s="9" t="str">
        <f>IF(DD$7="","",VLOOKUP(WEEKDAY(DATE($B$4,$B$5+$B$3-1,DD7),2),Sheet3!$D$1:$E$7,2,0))</f>
        <v/>
      </c>
      <c r="DE8" s="9" t="str">
        <f>IF(DE$7="","",VLOOKUP(WEEKDAY(DATE($B$4,$B$5+$B$3-1,DE7),2),Sheet3!$D$1:$E$7,2,0))</f>
        <v/>
      </c>
      <c r="DF8" s="9" t="str">
        <f>IF(DF$7="","",VLOOKUP(WEEKDAY(DATE($B$4,$B$5+$B$3-1,DF7),2),Sheet3!$D$1:$E$7,2,0))</f>
        <v/>
      </c>
      <c r="DG8" s="9" t="str">
        <f>IF(DG$7="","",VLOOKUP(WEEKDAY(DATE($B$4,$B$5+$B$3-1,DG7),2),Sheet3!$D$1:$E$7,2,0))</f>
        <v/>
      </c>
      <c r="DH8" s="9" t="str">
        <f>IF(DH$7="","",VLOOKUP(WEEKDAY(DATE($B$4,$B$5+$B$3-1,DH7),2),Sheet3!$D$1:$E$7,2,0))</f>
        <v/>
      </c>
      <c r="DI8" s="9" t="str">
        <f>IF(DI$7="","",VLOOKUP(WEEKDAY(DATE($B$4,$B$5+$B$3-1,DI7),2),Sheet3!$D$1:$E$7,2,0))</f>
        <v/>
      </c>
      <c r="DJ8" s="9" t="str">
        <f>IF(DJ$7="","",VLOOKUP(WEEKDAY(DATE($B$4,$B$5+$B$3-1,DJ7),2),Sheet3!$D$1:$E$7,2,0))</f>
        <v/>
      </c>
      <c r="DK8" s="9" t="str">
        <f>IF(DK$7="","",VLOOKUP(WEEKDAY(DATE($B$4,$B$5+$B$3-1,DK7),2),Sheet3!$D$1:$E$7,2,0))</f>
        <v/>
      </c>
      <c r="DL8" s="9" t="str">
        <f>IF(DL$7="","",VLOOKUP(WEEKDAY(DATE($B$4,$B$5+$B$3-1,DL7),2),Sheet3!$D$1:$E$7,2,0))</f>
        <v/>
      </c>
      <c r="DM8" s="9" t="str">
        <f>IF(DM$7="","",VLOOKUP(WEEKDAY(DATE($B$4,$B$5+$B$3-1,DM7),2),Sheet3!$D$1:$E$7,2,0))</f>
        <v/>
      </c>
      <c r="DN8" s="9" t="str">
        <f>IF(DN$7="","",VLOOKUP(WEEKDAY(DATE($B$4,$B$5+$B$3-1,DN7),2),Sheet3!$D$1:$E$7,2,0))</f>
        <v/>
      </c>
      <c r="DO8" s="9" t="str">
        <f>IF(DO$7="","",VLOOKUP(WEEKDAY(DATE($B$4,$B$5+$B$3-1,DO7),2),Sheet3!$D$1:$E$7,2,0))</f>
        <v/>
      </c>
      <c r="DP8" s="9" t="str">
        <f>IF(DP$7="","",VLOOKUP(WEEKDAY(DATE($B$4,$B$5+$B$3-1,DP7),2),Sheet3!$D$1:$E$7,2,0))</f>
        <v/>
      </c>
      <c r="DQ8" s="9" t="str">
        <f>IF(DQ$7="","",VLOOKUP(WEEKDAY(DATE($B$4,$B$5+$B$3-1,DQ7),2),Sheet3!$D$1:$E$7,2,0))</f>
        <v/>
      </c>
      <c r="DR8" s="9" t="str">
        <f>IF(DR$7="","",VLOOKUP(WEEKDAY(DATE($B$4,$B$5+$B$3-1,DR7),2),Sheet3!$D$1:$E$7,2,0))</f>
        <v/>
      </c>
      <c r="DS8" s="9" t="str">
        <f>IF(DS$7="","",VLOOKUP(WEEKDAY(DATE($B$4,$B$5+$B$3-1,DS7),2),Sheet3!$D$1:$E$7,2,0))</f>
        <v/>
      </c>
      <c r="DT8" s="9" t="str">
        <f>IF(DT$7="","",VLOOKUP(WEEKDAY(DATE($B$4,$B$5+$B$3-1,DT7),2),Sheet3!$D$1:$E$7,2,0))</f>
        <v/>
      </c>
      <c r="DU8" s="9" t="str">
        <f>IF(DU$7="","",VLOOKUP(WEEKDAY(DATE($B$4,$B$5+$B$3-1,DU7),2),Sheet3!$D$1:$E$7,2,0))</f>
        <v/>
      </c>
      <c r="DV8" s="9" t="str">
        <f>IF(DV$7="","",VLOOKUP(WEEKDAY(DATE($B$4,$B$5+$B$3-1,DV7),2),Sheet3!$D$1:$E$7,2,0))</f>
        <v/>
      </c>
      <c r="DW8" s="9" t="str">
        <f>IF(DW$7="","",VLOOKUP(WEEKDAY(DATE($B$4,$B$5+$B$3-1,DW7),2),Sheet3!$D$1:$E$7,2,0))</f>
        <v/>
      </c>
      <c r="DX8" s="9" t="str">
        <f>IF(DX$7="","",VLOOKUP(WEEKDAY(DATE($B$4,$B$5+$B$3-1,DX7),2),Sheet3!$D$1:$E$7,2,0))</f>
        <v/>
      </c>
      <c r="DY8" s="9" t="str">
        <f>IF(DY$7="","",VLOOKUP(WEEKDAY(DATE($B$4,$B$5+$B$3-1,DY7),2),Sheet3!$D$1:$E$7,2,0))</f>
        <v/>
      </c>
      <c r="DZ8" s="9" t="str">
        <f>IF(DZ$7="","",VLOOKUP(WEEKDAY(DATE($B$4,$B$5+$B$3-1,DZ7),2),Sheet3!$D$1:$E$7,2,0))</f>
        <v/>
      </c>
      <c r="EA8" s="9" t="str">
        <f>IF(EA$7="","",VLOOKUP(WEEKDAY(DATE($B$4,$B$5+$B$3-1,EA7),2),Sheet3!$D$1:$E$7,2,0))</f>
        <v/>
      </c>
      <c r="EB8" s="9" t="str">
        <f>IF(EB$7="","",VLOOKUP(WEEKDAY(DATE($B$4,$B$5+$B$3-1,EB7),2),Sheet3!$D$1:$E$7,2,0))</f>
        <v/>
      </c>
      <c r="EC8" s="9" t="str">
        <f>IF(EC$7="","",VLOOKUP(WEEKDAY(DATE($B$4,$B$5+$B$3-1,EC7),2),Sheet3!$D$1:$E$7,2,0))</f>
        <v/>
      </c>
      <c r="ED8" s="9" t="str">
        <f>IF(ED$7="","",VLOOKUP(WEEKDAY(DATE($B$4,$B$5+$B$3-1,ED7),2),Sheet3!$D$1:$E$7,2,0))</f>
        <v/>
      </c>
      <c r="EE8" s="9" t="str">
        <f>IF(EE$7="","",VLOOKUP(WEEKDAY(DATE($B$4,$B$5+$B$3-1,EE7),2),Sheet3!$D$1:$E$7,2,0))</f>
        <v/>
      </c>
      <c r="EF8" s="9" t="str">
        <f>IF(EF$7="","",VLOOKUP(WEEKDAY(DATE($B$4,$B$5+$B$3-1,EF7),2),Sheet3!$D$1:$E$7,2,0))</f>
        <v/>
      </c>
      <c r="EG8" s="9" t="str">
        <f>IF(EG$7="","",VLOOKUP(WEEKDAY(DATE($B$4,$B$5+$B$3-1,EG7),2),Sheet3!$D$1:$E$7,2,0))</f>
        <v/>
      </c>
      <c r="EH8" s="9" t="str">
        <f>IF(EH$7="","",VLOOKUP(WEEKDAY(DATE($B$4,$B$5+$B$3-1,EH7),2),Sheet3!$D$1:$E$7,2,0))</f>
        <v/>
      </c>
      <c r="EI8" s="9" t="str">
        <f>IF(EI$7="","",VLOOKUP(WEEKDAY(DATE($B$4,$B$5+$B$3-1,EI7),2),Sheet3!$D$1:$E$7,2,0))</f>
        <v/>
      </c>
      <c r="EJ8" s="9" t="str">
        <f>IF(EJ$7="","",VLOOKUP(WEEKDAY(DATE($B$4,$B$5+$B$3-1,EJ7),2),Sheet3!$D$1:$E$7,2,0))</f>
        <v/>
      </c>
      <c r="EK8" s="9" t="str">
        <f>IF(EK$7="","",VLOOKUP(WEEKDAY(DATE($B$4,$B$5+$B$3-1,EK7),2),Sheet3!$D$1:$E$7,2,0))</f>
        <v/>
      </c>
      <c r="EL8" s="9" t="str">
        <f>IF(EL$7="","",VLOOKUP(WEEKDAY(DATE($B$4,$B$5+$B$3-1,EL7),2),Sheet3!$D$1:$E$7,2,0))</f>
        <v/>
      </c>
      <c r="EM8" s="9" t="str">
        <f>IF(EM$7="","",VLOOKUP(WEEKDAY(DATE($B$4,$B$5+$B$3-1,EM7),2),Sheet3!$D$1:$E$7,2,0))</f>
        <v/>
      </c>
      <c r="EN8" s="9" t="str">
        <f>IF(EN$7="","",VLOOKUP(WEEKDAY(DATE($B$4,$B$5+$B$3-1,EN7),2),Sheet3!$D$1:$E$7,2,0))</f>
        <v/>
      </c>
      <c r="EO8" s="9" t="str">
        <f>IF(EO$7="","",VLOOKUP(WEEKDAY(DATE($B$4,$B$5+$B$3-1,EO7),2),Sheet3!$D$1:$E$7,2,0))</f>
        <v/>
      </c>
      <c r="EP8" s="9" t="str">
        <f>IF(EP$7="","",VLOOKUP(WEEKDAY(DATE($B$4,$B$5+$B$3-1,EP7),2),Sheet3!$D$1:$E$7,2,0))</f>
        <v/>
      </c>
      <c r="EQ8" s="9" t="str">
        <f>IF(EQ$7="","",VLOOKUP(WEEKDAY(DATE($B$4,$B$5+$B$3-1,EQ7),2),Sheet3!$D$1:$E$7,2,0))</f>
        <v/>
      </c>
      <c r="ER8" s="9" t="str">
        <f>IF(ER$7="","",VLOOKUP(WEEKDAY(DATE($B$4,$B$5+$B$3-1,ER7),2),Sheet3!$D$1:$E$7,2,0))</f>
        <v/>
      </c>
      <c r="ES8" s="9" t="str">
        <f>IF(ES$7="","",VLOOKUP(WEEKDAY(DATE($B$4,$B$5+$B$3-1,ES7),2),Sheet3!$D$1:$E$7,2,0))</f>
        <v/>
      </c>
      <c r="ET8" s="9" t="str">
        <f>IF(ET$7="","",VLOOKUP(WEEKDAY(DATE($B$4,$B$5+$B$3-1,ET7),2),Sheet3!$D$1:$E$7,2,0))</f>
        <v/>
      </c>
      <c r="EU8" s="9" t="str">
        <f>IF(EU$7="","",VLOOKUP(WEEKDAY(DATE($B$4,$B$5+$B$3-1,EU7),2),Sheet3!$D$1:$E$7,2,0))</f>
        <v/>
      </c>
      <c r="EV8" s="9" t="str">
        <f>IF(EV$7="","",VLOOKUP(WEEKDAY(DATE($B$4,$B$5+$B$3-1,EV7),2),Sheet3!$D$1:$E$7,2,0))</f>
        <v/>
      </c>
      <c r="EW8" s="9" t="str">
        <f>IF(EW$7="","",VLOOKUP(WEEKDAY(DATE($B$4,$B$5+$B$3-1,EW7),2),Sheet3!$D$1:$E$7,2,0))</f>
        <v/>
      </c>
      <c r="EX8" s="9" t="str">
        <f>IF(EX$7="","",VLOOKUP(WEEKDAY(DATE($B$4,$B$5+$B$3-1,EX7),2),Sheet3!$D$1:$E$7,2,0))</f>
        <v/>
      </c>
      <c r="EY8" s="9" t="str">
        <f>IF(EY$7="","",VLOOKUP(WEEKDAY(DATE($B$4,$B$5+$B$3-1,EY7),2),Sheet3!$D$1:$E$7,2,0))</f>
        <v/>
      </c>
      <c r="EZ8" s="9" t="str">
        <f>IF(EZ$7="","",VLOOKUP(WEEKDAY(DATE($B$4,$B$5+$B$3-1,EZ7),2),Sheet3!$D$1:$E$7,2,0))</f>
        <v/>
      </c>
      <c r="FA8" s="9" t="str">
        <f>IF(FA$7="","",VLOOKUP(WEEKDAY(DATE($B$4,$B$5+$B$3-1,FA7),2),Sheet3!$D$1:$E$7,2,0))</f>
        <v/>
      </c>
      <c r="FB8" s="9" t="str">
        <f>IF(FB$7="","",VLOOKUP(WEEKDAY(DATE($B$4,$B$5+$B$3-1,FB7),2),Sheet3!$D$1:$E$7,2,0))</f>
        <v/>
      </c>
      <c r="FC8" s="9" t="str">
        <f>IF(FC$7="","",VLOOKUP(WEEKDAY(DATE($B$4,$B$5+$B$3-1,FC7),2),Sheet3!$D$1:$E$7,2,0))</f>
        <v/>
      </c>
      <c r="FD8" s="9" t="str">
        <f>IF(FD$7="","",VLOOKUP(WEEKDAY(DATE($B$4,$B$5+$B$3-1,FD7),2),Sheet3!$D$1:$E$7,2,0))</f>
        <v/>
      </c>
      <c r="FE8" s="9" t="str">
        <f>IF(FE$7="","",VLOOKUP(WEEKDAY(DATE($B$4,$B$5+$B$3-1,FE7),2),Sheet3!$D$1:$E$7,2,0))</f>
        <v/>
      </c>
      <c r="FF8" s="9" t="str">
        <f>IF(FF$7="","",VLOOKUP(WEEKDAY(DATE($B$4,$B$5+$B$3-1,FF7),2),Sheet3!$D$1:$E$7,2,0))</f>
        <v/>
      </c>
      <c r="FG8" s="9" t="str">
        <f>IF(FG$7="","",VLOOKUP(WEEKDAY(DATE($B$4,$B$5+$B$3-1,FG7),2),Sheet3!$D$1:$E$7,2,0))</f>
        <v/>
      </c>
      <c r="FH8" s="9" t="str">
        <f>IF(FH$7="","",VLOOKUP(WEEKDAY(DATE($B$4,$B$5+$B$3-1,FH7),2),Sheet3!$D$1:$E$7,2,0))</f>
        <v/>
      </c>
      <c r="FI8" s="9" t="str">
        <f>IF(FI$7="","",VLOOKUP(WEEKDAY(DATE($B$4,$B$5+$B$3-1,FI7),2),Sheet3!$D$1:$E$7,2,0))</f>
        <v/>
      </c>
      <c r="FJ8" s="9" t="str">
        <f>IF(FJ$7="","",VLOOKUP(WEEKDAY(DATE($B$4,$B$5+$B$3-1,FJ7),2),Sheet3!$D$1:$E$7,2,0))</f>
        <v/>
      </c>
      <c r="FK8" s="9" t="str">
        <f>IF(FK$7="","",VLOOKUP(WEEKDAY(DATE($B$4,$B$5+$B$3-1,FK7),2),Sheet3!$D$1:$E$7,2,0))</f>
        <v/>
      </c>
      <c r="FL8" s="9" t="str">
        <f>IF(FL$7="","",VLOOKUP(WEEKDAY(DATE($B$4,$B$5+$B$3-1,FL7),2),Sheet3!$D$1:$E$7,2,0))</f>
        <v/>
      </c>
      <c r="FM8" s="9" t="str">
        <f>IF(FM$7="","",VLOOKUP(WEEKDAY(DATE($B$4,$B$5+$B$3-1,FM7),2),Sheet3!$D$1:$E$7,2,0))</f>
        <v/>
      </c>
      <c r="FN8" s="9" t="str">
        <f>IF(FN$7="","",VLOOKUP(WEEKDAY(DATE($B$4,$B$5+$B$3-1,FN7),2),Sheet3!$D$1:$E$7,2,0))</f>
        <v/>
      </c>
      <c r="FO8" s="9" t="str">
        <f>IF(FO$7="","",VLOOKUP(WEEKDAY(DATE($B$4,$B$5+$B$3-1,FO7),2),Sheet3!$D$1:$E$7,2,0))</f>
        <v/>
      </c>
      <c r="FP8" s="9" t="str">
        <f>IF(FP$7="","",VLOOKUP(WEEKDAY(DATE($B$4,$B$5+$B$3-1,FP7),2),Sheet3!$D$1:$E$7,2,0))</f>
        <v/>
      </c>
      <c r="FQ8" s="9" t="str">
        <f>IF(FQ$7="","",VLOOKUP(WEEKDAY(DATE($B$4,$B$5+$B$3-1,FQ7),2),Sheet3!$D$1:$E$7,2,0))</f>
        <v/>
      </c>
      <c r="FR8" s="9" t="str">
        <f>IF(FR$7="","",VLOOKUP(WEEKDAY(DATE($B$4,$B$5+$B$3-1,FR7),2),Sheet3!$D$1:$E$7,2,0))</f>
        <v/>
      </c>
      <c r="FS8" s="9" t="str">
        <f>IF(FS$7="","",VLOOKUP(WEEKDAY(DATE($B$4,$B$5+$B$3-1,FS7),2),Sheet3!$D$1:$E$7,2,0))</f>
        <v/>
      </c>
      <c r="FT8" s="9" t="str">
        <f>IF(FT$7="","",VLOOKUP(WEEKDAY(DATE($B$4,$B$5+$B$3-1,FT7),2),Sheet3!$D$1:$E$7,2,0))</f>
        <v/>
      </c>
      <c r="FU8" s="9" t="str">
        <f>IF(FU$7="","",VLOOKUP(WEEKDAY(DATE($B$4,$B$5+$B$3-1,FU7),2),Sheet3!$D$1:$E$7,2,0))</f>
        <v/>
      </c>
      <c r="FV8" s="9" t="str">
        <f>IF(FV$7="","",VLOOKUP(WEEKDAY(DATE($B$4,$B$5+$B$3-1,FV7),2),Sheet3!$D$1:$E$7,2,0))</f>
        <v/>
      </c>
      <c r="FW8" s="9" t="str">
        <f>IF(FW$7="","",VLOOKUP(WEEKDAY(DATE($B$4,$B$5+$B$3-1,FW7),2),Sheet3!$D$1:$E$7,2,0))</f>
        <v/>
      </c>
      <c r="FX8" s="9" t="str">
        <f>IF(FX$7="","",VLOOKUP(WEEKDAY(DATE($B$4,$B$5+$B$3-1,FX7),2),Sheet3!$D$1:$E$7,2,0))</f>
        <v/>
      </c>
      <c r="FY8" s="9" t="str">
        <f>IF(FY$7="","",VLOOKUP(WEEKDAY(DATE($B$4,$B$5+$B$3-1,FY7),2),Sheet3!$D$1:$E$7,2,0))</f>
        <v/>
      </c>
      <c r="FZ8" s="9" t="str">
        <f>IF(FZ$7="","",VLOOKUP(WEEKDAY(DATE($B$4,$B$5+$B$3-1,FZ7),2),Sheet3!$D$1:$E$7,2,0))</f>
        <v/>
      </c>
      <c r="GA8" s="9" t="str">
        <f>IF(GA$7="","",VLOOKUP(WEEKDAY(DATE($B$4,$B$5+$B$3-1,GA7),2),Sheet3!$D$1:$E$7,2,0))</f>
        <v/>
      </c>
      <c r="GB8" s="9" t="str">
        <f>IF(GB$7="","",VLOOKUP(WEEKDAY(DATE($B$4,$B$5+$B$3-1,GB7),2),Sheet3!$D$1:$E$7,2,0))</f>
        <v/>
      </c>
      <c r="GC8" s="9" t="str">
        <f>IF(GC$7="","",VLOOKUP(WEEKDAY(DATE($B$4,$B$5+$B$3-1,GC7),2),Sheet3!$D$1:$E$7,2,0))</f>
        <v/>
      </c>
      <c r="GD8" s="9" t="str">
        <f>IF(GD$7="","",VLOOKUP(WEEKDAY(DATE($B$4,$B$5+$B$3-1,GD7),2),Sheet3!$D$1:$E$7,2,0))</f>
        <v/>
      </c>
      <c r="GE8" s="9" t="str">
        <f>IF(GE$7="","",VLOOKUP(WEEKDAY(DATE($B$4,$B$5+$B$3-1,GE7),2),Sheet3!$D$1:$E$7,2,0))</f>
        <v/>
      </c>
      <c r="GF8" s="9" t="str">
        <f>IF(GF$7="","",VLOOKUP(WEEKDAY(DATE($B$4,$B$5+$B$3-1,GF7),2),Sheet3!$D$1:$E$7,2,0))</f>
        <v/>
      </c>
      <c r="GG8" s="9" t="str">
        <f>IF(GG$7="","",VLOOKUP(WEEKDAY(DATE($B$4,$B$5+$B$3-1,GG7),2),Sheet3!$D$1:$E$7,2,0))</f>
        <v/>
      </c>
      <c r="GH8" s="9" t="str">
        <f>IF(GH$7="","",VLOOKUP(WEEKDAY(DATE($B$4,$B$5+$B$3-1,GH7),2),Sheet3!$D$1:$E$7,2,0))</f>
        <v/>
      </c>
      <c r="GI8" s="9" t="str">
        <f>IF(GI$7="","",VLOOKUP(WEEKDAY(DATE($B$4,$B$5+$B$3-1,GI7),2),Sheet3!$D$1:$E$7,2,0))</f>
        <v/>
      </c>
      <c r="GJ8" s="9" t="str">
        <f>IF(GJ$7="","",VLOOKUP(WEEKDAY(DATE($B$4,$B$5+$B$3-1,GJ7),2),Sheet3!$D$1:$E$7,2,0))</f>
        <v/>
      </c>
      <c r="GK8" s="9" t="str">
        <f>IF(GK$7="","",VLOOKUP(WEEKDAY(DATE($B$4,$B$5+$B$3-1,GK7),2),Sheet3!$D$1:$E$7,2,0))</f>
        <v/>
      </c>
      <c r="GL8" s="9" t="str">
        <f>IF(GL$7="","",VLOOKUP(WEEKDAY(DATE($B$4,$B$5+$B$3-1,GL7),2),Sheet3!$D$1:$E$7,2,0))</f>
        <v/>
      </c>
      <c r="GM8" s="9" t="str">
        <f>IF(GM$7="","",VLOOKUP(WEEKDAY(DATE($B$4,$B$5+$B$3-1,GM7),2),Sheet3!$D$1:$E$7,2,0))</f>
        <v/>
      </c>
      <c r="GN8" s="9" t="str">
        <f>IF(GN$7="","",VLOOKUP(WEEKDAY(DATE($B$4,$B$5+$B$3-1,GN7),2),Sheet3!$D$1:$E$7,2,0))</f>
        <v/>
      </c>
      <c r="GO8" s="9" t="str">
        <f>IF(GO$7="","",VLOOKUP(WEEKDAY(DATE($B$4,$B$5+$B$3-1,GO7),2),Sheet3!$D$1:$E$7,2,0))</f>
        <v/>
      </c>
      <c r="GP8" s="9" t="str">
        <f>IF(GP$7="","",VLOOKUP(WEEKDAY(DATE($B$4,$B$5+$B$3-1,GP7),2),Sheet3!$D$1:$E$7,2,0))</f>
        <v/>
      </c>
      <c r="GQ8" s="9" t="str">
        <f>IF(GQ$7="","",VLOOKUP(WEEKDAY(DATE($B$4,$B$5+$B$3-1,GQ7),2),Sheet3!$D$1:$E$7,2,0))</f>
        <v/>
      </c>
      <c r="GR8" s="9" t="str">
        <f>IF(GR$7="","",VLOOKUP(WEEKDAY(DATE($B$4,$B$5+$B$3-1,GR7),2),Sheet3!$D$1:$E$7,2,0))</f>
        <v/>
      </c>
      <c r="GS8" s="9" t="str">
        <f>IF(GS$7="","",VLOOKUP(WEEKDAY(DATE($B$4,$B$5+$B$3-1,GS7),2),Sheet3!$D$1:$E$7,2,0))</f>
        <v/>
      </c>
      <c r="GT8" s="9" t="str">
        <f>IF(GT$7="","",VLOOKUP(WEEKDAY(DATE($B$4,$B$5+$B$3-1,GT7),2),Sheet3!$D$1:$E$7,2,0))</f>
        <v/>
      </c>
      <c r="GU8" s="9" t="str">
        <f>IF(GU$7="","",VLOOKUP(WEEKDAY(DATE($B$4,$B$5+$B$3-1,GU7),2),Sheet3!$D$1:$E$7,2,0))</f>
        <v/>
      </c>
      <c r="GV8" s="9" t="str">
        <f>IF(GV$7="","",VLOOKUP(WEEKDAY(DATE($B$4,$B$5+$B$3-1,GV7),2),Sheet3!$D$1:$E$7,2,0))</f>
        <v/>
      </c>
      <c r="GW8" s="9" t="str">
        <f>IF(GW$7="","",VLOOKUP(WEEKDAY(DATE($B$4,$B$5+$B$3-1,GW7),2),Sheet3!$D$1:$E$7,2,0))</f>
        <v/>
      </c>
      <c r="GX8" s="9" t="str">
        <f>IF(GX$7="","",VLOOKUP(WEEKDAY(DATE($B$4,$B$5+$B$3-1,GX7),2),Sheet3!$D$1:$E$7,2,0))</f>
        <v/>
      </c>
      <c r="GY8" s="9" t="str">
        <f>IF(GY$7="","",VLOOKUP(WEEKDAY(DATE($B$4,$B$5+$B$3-1,GY7),2),Sheet3!$D$1:$E$7,2,0))</f>
        <v/>
      </c>
      <c r="GZ8" s="9" t="str">
        <f>IF(GZ$7="","",VLOOKUP(WEEKDAY(DATE($B$4,$B$5+$B$3-1,GZ7),2),Sheet3!$D$1:$E$7,2,0))</f>
        <v/>
      </c>
      <c r="HA8" s="9" t="str">
        <f>IF(HA$7="","",VLOOKUP(WEEKDAY(DATE($B$4,$B$5+$B$3-1,HA7),2),Sheet3!$D$1:$E$7,2,0))</f>
        <v/>
      </c>
      <c r="HB8" s="9" t="str">
        <f>IF(HB$7="","",VLOOKUP(WEEKDAY(DATE($B$4,$B$5+$B$3-1,HB7),2),Sheet3!$D$1:$E$7,2,0))</f>
        <v/>
      </c>
      <c r="HC8" s="9" t="str">
        <f>IF(HC$7="","",VLOOKUP(WEEKDAY(DATE($B$4,$B$5+$B$3-1,HC7),2),Sheet3!$D$1:$E$7,2,0))</f>
        <v/>
      </c>
      <c r="HD8" s="9" t="str">
        <f>IF(HD$7="","",VLOOKUP(WEEKDAY(DATE($B$4,$B$5+$B$3-1,HD7),2),Sheet3!$D$1:$E$7,2,0))</f>
        <v/>
      </c>
      <c r="HE8" s="9" t="str">
        <f>IF(HE$7="","",VLOOKUP(WEEKDAY(DATE($B$4,$B$5+$B$3-1,HE7),2),Sheet3!$D$1:$E$7,2,0))</f>
        <v/>
      </c>
      <c r="HF8" s="9" t="str">
        <f>IF(HF$7="","",VLOOKUP(WEEKDAY(DATE($B$4,$B$5+$B$3-1,HF7),2),Sheet3!$D$1:$E$7,2,0))</f>
        <v/>
      </c>
      <c r="HG8" s="9" t="str">
        <f>IF(HG$7="","",VLOOKUP(WEEKDAY(DATE($B$4,$B$5+$B$3-1,HG7),2),Sheet3!$D$1:$E$7,2,0))</f>
        <v/>
      </c>
      <c r="HH8" s="9" t="str">
        <f>IF(HH$7="","",VLOOKUP(WEEKDAY(DATE($B$4,$B$5+$B$3-1,HH7),2),Sheet3!$D$1:$E$7,2,0))</f>
        <v/>
      </c>
      <c r="HI8" s="9" t="str">
        <f>IF(HI$7="","",VLOOKUP(WEEKDAY(DATE($B$4,$B$5+$B$3-1,HI7),2),Sheet3!$D$1:$E$7,2,0))</f>
        <v/>
      </c>
      <c r="HJ8" s="9" t="str">
        <f>IF(HJ$7="","",VLOOKUP(WEEKDAY(DATE($B$4,$B$5+$B$3-1,HJ7),2),Sheet3!$D$1:$E$7,2,0))</f>
        <v/>
      </c>
      <c r="HK8" s="9" t="str">
        <f>IF(HK$7="","",VLOOKUP(WEEKDAY(DATE($B$4,$B$5+$B$3-1,HK7),2),Sheet3!$D$1:$E$7,2,0))</f>
        <v/>
      </c>
      <c r="HL8" s="9" t="str">
        <f>IF(HL$7="","",VLOOKUP(WEEKDAY(DATE($B$4,$B$5+$B$3-1,HL7),2),Sheet3!$D$1:$E$7,2,0))</f>
        <v/>
      </c>
      <c r="HM8" s="9" t="str">
        <f>IF(HM$7="","",VLOOKUP(WEEKDAY(DATE($B$4,$B$5+$B$3-1,HM7),2),Sheet3!$D$1:$E$7,2,0))</f>
        <v/>
      </c>
      <c r="HN8" s="9" t="str">
        <f>IF(HN$7="","",VLOOKUP(WEEKDAY(DATE($B$4,$B$5+$B$3-1,HN7),2),Sheet3!$D$1:$E$7,2,0))</f>
        <v/>
      </c>
      <c r="HO8" s="9" t="str">
        <f>IF(HO$7="","",VLOOKUP(WEEKDAY(DATE($B$4,$B$5+$B$3-1,HO7),2),Sheet3!$D$1:$E$7,2,0))</f>
        <v/>
      </c>
      <c r="HP8" s="9" t="str">
        <f>IF(HP$7="","",VLOOKUP(WEEKDAY(DATE($B$4,$B$5+$B$3-1,HP7),2),Sheet3!$D$1:$E$7,2,0))</f>
        <v/>
      </c>
      <c r="HQ8" s="9" t="str">
        <f>IF(HQ$7="","",VLOOKUP(WEEKDAY(DATE($B$4,$B$5+$B$3-1,HQ7),2),Sheet3!$D$1:$E$7,2,0))</f>
        <v/>
      </c>
      <c r="HR8" s="9" t="str">
        <f>IF(HR$7="","",VLOOKUP(WEEKDAY(DATE($B$4,$B$5+$B$3-1,HR7),2),Sheet3!$D$1:$E$7,2,0))</f>
        <v/>
      </c>
      <c r="HS8" s="9" t="str">
        <f>IF(HS$7="","",VLOOKUP(WEEKDAY(DATE($B$4,$B$5+$B$3-1,HS7),2),Sheet3!$D$1:$E$7,2,0))</f>
        <v/>
      </c>
      <c r="HT8" s="9" t="str">
        <f>IF(HT$7="","",VLOOKUP(WEEKDAY(DATE($B$4,$B$5+$B$3-1,HT7),2),Sheet3!$D$1:$E$7,2,0))</f>
        <v/>
      </c>
      <c r="HU8" s="9" t="str">
        <f>IF(HU$7="","",VLOOKUP(WEEKDAY(DATE($B$4,$B$5+$B$3-1,HU7),2),Sheet3!$D$1:$E$7,2,0))</f>
        <v/>
      </c>
      <c r="HV8" s="9" t="str">
        <f>IF(HV$7="","",VLOOKUP(WEEKDAY(DATE($B$4,$B$5+$B$3-1,HV7),2),Sheet3!$D$1:$E$7,2,0))</f>
        <v/>
      </c>
      <c r="HW8" s="9" t="str">
        <f>IF(HW$7="","",VLOOKUP(WEEKDAY(DATE($B$4,$B$5+$B$3-1,HW7),2),Sheet3!$D$1:$E$7,2,0))</f>
        <v/>
      </c>
      <c r="HX8" s="9" t="str">
        <f>IF(HX$7="","",VLOOKUP(WEEKDAY(DATE($B$4,$B$5+$B$3-1,HX7),2),Sheet3!$D$1:$E$7,2,0))</f>
        <v/>
      </c>
      <c r="HY8" s="9" t="str">
        <f>IF(HY$7="","",VLOOKUP(WEEKDAY(DATE($B$4,$B$5+$B$3-1,HY7),2),Sheet3!$D$1:$E$7,2,0))</f>
        <v/>
      </c>
      <c r="HZ8" s="9" t="str">
        <f>IF(HZ$7="","",VLOOKUP(WEEKDAY(DATE($B$4,$B$5+$B$3-1,HZ7),2),Sheet3!$D$1:$E$7,2,0))</f>
        <v/>
      </c>
      <c r="IA8" s="9" t="str">
        <f>IF(IA$7="","",VLOOKUP(WEEKDAY(DATE($B$4,$B$5+$B$3-1,IA7),2),Sheet3!$D$1:$E$7,2,0))</f>
        <v/>
      </c>
      <c r="IB8" s="9" t="str">
        <f>IF(IB$7="","",VLOOKUP(WEEKDAY(DATE($B$4,$B$5+$B$3-1,IB7),2),Sheet3!$D$1:$E$7,2,0))</f>
        <v/>
      </c>
      <c r="IC8" s="9" t="str">
        <f>IF(IC$7="","",VLOOKUP(WEEKDAY(DATE($B$4,$B$5+$B$3-1,IC7),2),Sheet3!$D$1:$E$7,2,0))</f>
        <v/>
      </c>
      <c r="ID8" s="9" t="str">
        <f>IF(ID$7="","",VLOOKUP(WEEKDAY(DATE($B$4,$B$5+$B$3-1,ID7),2),Sheet3!$D$1:$E$7,2,0))</f>
        <v/>
      </c>
      <c r="IE8" s="9" t="str">
        <f>IF(IE$7="","",VLOOKUP(WEEKDAY(DATE($B$4,$B$5+$B$3-1,IE7),2),Sheet3!$D$1:$E$7,2,0))</f>
        <v/>
      </c>
      <c r="IF8" s="9" t="str">
        <f>IF(IF$7="","",VLOOKUP(WEEKDAY(DATE($B$4,$B$5+$B$3-1,IF7),2),Sheet3!$D$1:$E$7,2,0))</f>
        <v/>
      </c>
      <c r="IG8" s="9" t="str">
        <f>IF(IG$7="","",VLOOKUP(WEEKDAY(DATE($B$4,$B$5+$B$3-1,IG7),2),Sheet3!$D$1:$E$7,2,0))</f>
        <v/>
      </c>
      <c r="IH8" s="9" t="str">
        <f>IF(IH$7="","",VLOOKUP(WEEKDAY(DATE($B$4,$B$5+$B$3-1,IH7),2),Sheet3!$D$1:$E$7,2,0))</f>
        <v/>
      </c>
      <c r="II8" s="9" t="str">
        <f>IF(II$7="","",VLOOKUP(WEEKDAY(DATE($B$4,$B$5+$B$3-1,II7),2),Sheet3!$D$1:$E$7,2,0))</f>
        <v/>
      </c>
      <c r="IJ8" s="9" t="str">
        <f>IF(IJ$7="","",VLOOKUP(WEEKDAY(DATE($B$4,$B$5+$B$3-1,IJ7),2),Sheet3!$D$1:$E$7,2,0))</f>
        <v/>
      </c>
      <c r="IK8" s="9" t="str">
        <f>IF(IK$7="","",VLOOKUP(WEEKDAY(DATE($B$4,$B$5+$B$3-1,IK7),2),Sheet3!$D$1:$E$7,2,0))</f>
        <v/>
      </c>
      <c r="IL8" s="9" t="str">
        <f>IF(IL$7="","",VLOOKUP(WEEKDAY(DATE($B$4,$B$5+$B$3-1,IL7),2),Sheet3!$D$1:$E$7,2,0))</f>
        <v/>
      </c>
      <c r="IM8" s="9" t="str">
        <f>IF(IM$7="","",VLOOKUP(WEEKDAY(DATE($B$4,$B$5+$B$3-1,IM7),2),Sheet3!$D$1:$E$7,2,0))</f>
        <v/>
      </c>
      <c r="IN8" s="9" t="str">
        <f>IF(IN$7="","",VLOOKUP(WEEKDAY(DATE($B$4,$B$5+$B$3-1,IN7),2),Sheet3!$D$1:$E$7,2,0))</f>
        <v/>
      </c>
      <c r="IO8" s="9" t="str">
        <f>IF(IO$7="","",VLOOKUP(WEEKDAY(DATE($B$4,$B$5+$B$3-1,IO7),2),Sheet3!$D$1:$E$7,2,0))</f>
        <v/>
      </c>
      <c r="IP8" s="9" t="str">
        <f>IF(IP$7="","",VLOOKUP(WEEKDAY(DATE($B$4,$B$5+$B$3-1,IP7),2),Sheet3!$D$1:$E$7,2,0))</f>
        <v/>
      </c>
      <c r="IQ8" s="9" t="str">
        <f>IF(IQ$7="","",VLOOKUP(WEEKDAY(DATE($B$4,$B$5+$B$3-1,IQ7),2),Sheet3!$D$1:$E$7,2,0))</f>
        <v/>
      </c>
      <c r="IR8" s="9" t="str">
        <f>IF(IR$7="","",VLOOKUP(WEEKDAY(DATE($B$4,$B$5+$B$3-1,IR7),2),Sheet3!$D$1:$E$7,2,0))</f>
        <v/>
      </c>
      <c r="IS8" s="9" t="str">
        <f>IF(IS$7="","",VLOOKUP(WEEKDAY(DATE($B$4,$B$5+$B$3-1,IS7),2),Sheet3!$D$1:$E$7,2,0))</f>
        <v/>
      </c>
      <c r="IT8" s="9" t="str">
        <f>IF(IT$7="","",VLOOKUP(WEEKDAY(DATE($B$4,$B$5+$B$3-1,IT7),2),Sheet3!$D$1:$E$7,2,0))</f>
        <v/>
      </c>
      <c r="IU8" s="9" t="str">
        <f>IF(IU$7="","",VLOOKUP(WEEKDAY(DATE($B$4,$B$5+$B$3-1,IU7),2),Sheet3!$D$1:$E$7,2,0))</f>
        <v/>
      </c>
      <c r="IV8" s="9" t="str">
        <f>IF(IV$7="","",VLOOKUP(WEEKDAY(DATE($B$4,$B$5+$B$3-1,IV7),2),Sheet3!$D$1:$E$7,2,0))</f>
        <v/>
      </c>
      <c r="IW8" s="9" t="str">
        <f>IF(IW$7="","",VLOOKUP(WEEKDAY(DATE($B$4,$B$5+$B$3-1,IW7),2),Sheet3!$D$1:$E$7,2,0))</f>
        <v/>
      </c>
      <c r="IX8" s="9" t="str">
        <f>IF(IX$7="","",VLOOKUP(WEEKDAY(DATE($B$4,$B$5+$B$3-1,IX7),2),Sheet3!$D$1:$E$7,2,0))</f>
        <v/>
      </c>
      <c r="IY8" s="9" t="str">
        <f>IF(IY$7="","",VLOOKUP(WEEKDAY(DATE($B$4,$B$5+$B$3-1,IY7),2),Sheet3!$D$1:$E$7,2,0))</f>
        <v/>
      </c>
      <c r="IZ8" s="9" t="str">
        <f>IF(IZ$7="","",VLOOKUP(WEEKDAY(DATE($B$4,$B$5+$B$3-1,IZ7),2),Sheet3!$D$1:$E$7,2,0))</f>
        <v/>
      </c>
      <c r="JA8" s="9" t="str">
        <f>IF(JA$7="","",VLOOKUP(WEEKDAY(DATE($B$4,$B$5+$B$3-1,JA7),2),Sheet3!$D$1:$E$7,2,0))</f>
        <v/>
      </c>
      <c r="JB8" s="9" t="str">
        <f>IF(JB$7="","",VLOOKUP(WEEKDAY(DATE($B$4,$B$5+$B$3-1,JB7),2),Sheet3!$D$1:$E$7,2,0))</f>
        <v/>
      </c>
      <c r="JC8" s="9" t="str">
        <f>IF(JC$7="","",VLOOKUP(WEEKDAY(DATE($B$4,$B$5+$B$3-1,JC7),2),Sheet3!$D$1:$E$7,2,0))</f>
        <v/>
      </c>
      <c r="JD8" s="9" t="str">
        <f>IF(JD$7="","",VLOOKUP(WEEKDAY(DATE($B$4,$B$5+$B$3-1,JD7),2),Sheet3!$D$1:$E$7,2,0))</f>
        <v/>
      </c>
      <c r="JE8" s="9" t="str">
        <f>IF(JE$7="","",VLOOKUP(WEEKDAY(DATE($B$4,$B$5+$B$3-1,JE7),2),Sheet3!$D$1:$E$7,2,0))</f>
        <v/>
      </c>
      <c r="JF8" s="9" t="str">
        <f>IF(JF$7="","",VLOOKUP(WEEKDAY(DATE($B$4,$B$5+$B$3-1,JF7),2),Sheet3!$D$1:$E$7,2,0))</f>
        <v/>
      </c>
      <c r="JG8" s="9" t="str">
        <f>IF(JG$7="","",VLOOKUP(WEEKDAY(DATE($B$4,$B$5+$B$3-1,JG7),2),Sheet3!$D$1:$E$7,2,0))</f>
        <v/>
      </c>
      <c r="JH8" s="9" t="str">
        <f>IF(JH$7="","",VLOOKUP(WEEKDAY(DATE($B$4,$B$5+$B$3-1,JH7),2),Sheet3!$D$1:$E$7,2,0))</f>
        <v/>
      </c>
      <c r="JI8" s="9" t="str">
        <f>IF(JI$7="","",VLOOKUP(WEEKDAY(DATE($B$4,$B$5+$B$3-1,JI7),2),Sheet3!$D$1:$E$7,2,0))</f>
        <v/>
      </c>
      <c r="JJ8" s="9" t="str">
        <f>IF(JJ$7="","",VLOOKUP(WEEKDAY(DATE($B$4,$B$5+$B$3-1,JJ7),2),Sheet3!$D$1:$E$7,2,0))</f>
        <v/>
      </c>
      <c r="JK8" s="9" t="str">
        <f>IF(JK$7="","",VLOOKUP(WEEKDAY(DATE($B$4,$B$5+$B$3-1,JK7),2),Sheet3!$D$1:$E$7,2,0))</f>
        <v/>
      </c>
      <c r="JL8" s="9" t="str">
        <f>IF(JL$7="","",VLOOKUP(WEEKDAY(DATE($B$4,$B$5+$B$3-1,JL7),2),Sheet3!$D$1:$E$7,2,0))</f>
        <v/>
      </c>
      <c r="JM8" s="9" t="str">
        <f>IF(JM$7="","",VLOOKUP(WEEKDAY(DATE($B$4,$B$5+$B$3-1,JM7),2),Sheet3!$D$1:$E$7,2,0))</f>
        <v/>
      </c>
      <c r="JN8" s="9" t="str">
        <f>IF(JN$7="","",VLOOKUP(WEEKDAY(DATE($B$4,$B$5+$B$3-1,JN7),2),Sheet3!$D$1:$E$7,2,0))</f>
        <v/>
      </c>
      <c r="JO8" s="9" t="str">
        <f>IF(JO$7="","",VLOOKUP(WEEKDAY(DATE($B$4,$B$5+$B$3-1,JO7),2),Sheet3!$D$1:$E$7,2,0))</f>
        <v/>
      </c>
      <c r="JP8" s="9" t="str">
        <f>IF(JP$7="","",VLOOKUP(WEEKDAY(DATE($B$4,$B$5+$B$3-1,JP7),2),Sheet3!$D$1:$E$7,2,0))</f>
        <v/>
      </c>
      <c r="JQ8" s="9" t="str">
        <f>IF(JQ$7="","",VLOOKUP(WEEKDAY(DATE($B$4,$B$5+$B$3-1,JQ7),2),Sheet3!$D$1:$E$7,2,0))</f>
        <v/>
      </c>
      <c r="JR8" s="9" t="str">
        <f>IF(JR$7="","",VLOOKUP(WEEKDAY(DATE($B$4,$B$5+$B$3-1,JR7),2),Sheet3!$D$1:$E$7,2,0))</f>
        <v/>
      </c>
      <c r="JS8" s="9" t="str">
        <f>IF(JS$7="","",VLOOKUP(WEEKDAY(DATE($B$4,$B$5+$B$3-1,JS7),2),Sheet3!$D$1:$E$7,2,0))</f>
        <v/>
      </c>
      <c r="JT8" s="9" t="str">
        <f>IF(JT$7="","",VLOOKUP(WEEKDAY(DATE($B$4,$B$5+$B$3-1,JT7),2),Sheet3!$D$1:$E$7,2,0))</f>
        <v/>
      </c>
      <c r="JU8" s="9" t="str">
        <f>IF(JU$7="","",VLOOKUP(WEEKDAY(DATE($B$4,$B$5+$B$3-1,JU7),2),Sheet3!$D$1:$E$7,2,0))</f>
        <v/>
      </c>
      <c r="JV8" s="9" t="str">
        <f>IF(JV$7="","",VLOOKUP(WEEKDAY(DATE($B$4,$B$5+$B$3-1,JV7),2),Sheet3!$D$1:$E$7,2,0))</f>
        <v/>
      </c>
      <c r="JW8" s="9" t="str">
        <f>IF(JW$7="","",VLOOKUP(WEEKDAY(DATE($B$4,$B$5+$B$3-1,JW7),2),Sheet3!$D$1:$E$7,2,0))</f>
        <v/>
      </c>
      <c r="JX8" s="9" t="str">
        <f>IF(JX$7="","",VLOOKUP(WEEKDAY(DATE($B$4,$B$5+$B$3-1,JX7),2),Sheet3!$D$1:$E$7,2,0))</f>
        <v/>
      </c>
      <c r="JY8" s="9" t="str">
        <f>IF(JY$7="","",VLOOKUP(WEEKDAY(DATE($B$4,$B$5+$B$3-1,JY7),2),Sheet3!$D$1:$E$7,2,0))</f>
        <v/>
      </c>
      <c r="JZ8" s="9" t="str">
        <f>IF(JZ$7="","",VLOOKUP(WEEKDAY(DATE($B$4,$B$5+$B$3-1,JZ7),2),Sheet3!$D$1:$E$7,2,0))</f>
        <v/>
      </c>
      <c r="KA8" s="9" t="str">
        <f>IF(KA$7="","",VLOOKUP(WEEKDAY(DATE($B$4,$B$5+$B$3-1,KA7),2),Sheet3!$D$1:$E$7,2,0))</f>
        <v/>
      </c>
      <c r="KB8" s="9" t="str">
        <f>IF(KB$7="","",VLOOKUP(WEEKDAY(DATE($B$4,$B$5+$B$3-1,KB7),2),Sheet3!$D$1:$E$7,2,0))</f>
        <v/>
      </c>
      <c r="KC8" s="9" t="str">
        <f>IF(KC$7="","",VLOOKUP(WEEKDAY(DATE($B$4,$B$5+$B$3-1,KC7),2),Sheet3!$D$1:$E$7,2,0))</f>
        <v/>
      </c>
      <c r="KD8" s="9" t="str">
        <f>IF(KD$7="","",VLOOKUP(WEEKDAY(DATE($B$4,$B$5+$B$3-1,KD7),2),Sheet3!$D$1:$E$7,2,0))</f>
        <v/>
      </c>
      <c r="KE8" s="9" t="str">
        <f>IF(KE$7="","",VLOOKUP(WEEKDAY(DATE($B$4,$B$5+$B$3-1,KE7),2),Sheet3!$D$1:$E$7,2,0))</f>
        <v/>
      </c>
      <c r="KF8" s="9" t="str">
        <f>IF(KF$7="","",VLOOKUP(WEEKDAY(DATE($B$4,$B$5+$B$3-1,KF7),2),Sheet3!$D$1:$E$7,2,0))</f>
        <v/>
      </c>
      <c r="KG8" s="9" t="str">
        <f>IF(KG$7="","",VLOOKUP(WEEKDAY(DATE($B$4,$B$5+$B$3-1,KG7),2),Sheet3!$D$1:$E$7,2,0))</f>
        <v/>
      </c>
      <c r="KH8" s="9" t="str">
        <f>IF(KH$7="","",VLOOKUP(WEEKDAY(DATE($B$4,$B$5+$B$3-1,KH7),2),Sheet3!$D$1:$E$7,2,0))</f>
        <v/>
      </c>
      <c r="KI8" s="9" t="str">
        <f>IF(KI$7="","",VLOOKUP(WEEKDAY(DATE($B$4,$B$5+$B$3-1,KI7),2),Sheet3!$D$1:$E$7,2,0))</f>
        <v/>
      </c>
      <c r="KJ8" s="9" t="str">
        <f>IF(KJ$7="","",VLOOKUP(WEEKDAY(DATE($B$4,$B$5+$B$3-1,KJ7),2),Sheet3!$D$1:$E$7,2,0))</f>
        <v/>
      </c>
      <c r="KK8" s="9" t="str">
        <f>IF(KK$7="","",VLOOKUP(WEEKDAY(DATE($B$4,$B$5+$B$3-1,KK7),2),Sheet3!$D$1:$E$7,2,0))</f>
        <v/>
      </c>
      <c r="KL8" s="9" t="str">
        <f>IF(KL$7="","",VLOOKUP(WEEKDAY(DATE($B$4,$B$5+$B$3-1,KL7),2),Sheet3!$D$1:$E$7,2,0))</f>
        <v/>
      </c>
      <c r="KM8" s="9" t="str">
        <f>IF(KM$7="","",VLOOKUP(WEEKDAY(DATE($B$4,$B$5+$B$3-1,KM7),2),Sheet3!$D$1:$E$7,2,0))</f>
        <v/>
      </c>
      <c r="KN8" s="9" t="str">
        <f>IF(KN$7="","",VLOOKUP(WEEKDAY(DATE($B$4,$B$5+$B$3-1,KN7),2),Sheet3!$D$1:$E$7,2,0))</f>
        <v/>
      </c>
      <c r="KO8" s="9" t="str">
        <f>IF(KO$7="","",VLOOKUP(WEEKDAY(DATE($B$4,$B$5+$B$3-1,KO7),2),Sheet3!$D$1:$E$7,2,0))</f>
        <v/>
      </c>
      <c r="KP8" s="9" t="str">
        <f>IF(KP$7="","",VLOOKUP(WEEKDAY(DATE($B$4,$B$5+$B$3-1,KP7),2),Sheet3!$D$1:$E$7,2,0))</f>
        <v/>
      </c>
      <c r="KQ8" s="9" t="str">
        <f>IF(KQ$7="","",VLOOKUP(WEEKDAY(DATE($B$4,$B$5+$B$3-1,KQ7),2),Sheet3!$D$1:$E$7,2,0))</f>
        <v/>
      </c>
      <c r="KR8" s="9" t="str">
        <f>IF(KR$7="","",VLOOKUP(WEEKDAY(DATE($B$4,$B$5+$B$3-1,KR7),2),Sheet3!$D$1:$E$7,2,0))</f>
        <v/>
      </c>
      <c r="KS8" s="9" t="str">
        <f>IF(KS$7="","",VLOOKUP(WEEKDAY(DATE($B$4,$B$5+$B$3-1,KS7),2),Sheet3!$D$1:$E$7,2,0))</f>
        <v/>
      </c>
      <c r="KT8" s="9" t="str">
        <f>IF(KT$7="","",VLOOKUP(WEEKDAY(DATE($B$4,$B$5+$B$3-1,KT7),2),Sheet3!$D$1:$E$7,2,0))</f>
        <v/>
      </c>
      <c r="KU8" s="9" t="str">
        <f>IF(KU$7="","",VLOOKUP(WEEKDAY(DATE($B$4,$B$5+$B$3-1,KU7),2),Sheet3!$D$1:$E$7,2,0))</f>
        <v/>
      </c>
      <c r="KV8" s="9" t="str">
        <f>IF(KV$7="","",VLOOKUP(WEEKDAY(DATE($B$4,$B$5+$B$3-1,KV7),2),Sheet3!$D$1:$E$7,2,0))</f>
        <v/>
      </c>
      <c r="KW8" s="9" t="str">
        <f>IF(KW$7="","",VLOOKUP(WEEKDAY(DATE($B$4,$B$5+$B$3-1,KW7),2),Sheet3!$D$1:$E$7,2,0))</f>
        <v/>
      </c>
      <c r="KX8" s="9" t="str">
        <f>IF(KX$7="","",VLOOKUP(WEEKDAY(DATE($B$4,$B$5+$B$3-1,KX7),2),Sheet3!$D$1:$E$7,2,0))</f>
        <v/>
      </c>
      <c r="KY8" s="9" t="str">
        <f>IF(KY$7="","",VLOOKUP(WEEKDAY(DATE($B$4,$B$5+$B$3-1,KY7),2),Sheet3!$D$1:$E$7,2,0))</f>
        <v/>
      </c>
      <c r="KZ8" s="9" t="str">
        <f>IF(KZ$7="","",VLOOKUP(WEEKDAY(DATE($B$4,$B$5+$B$3-1,KZ7),2),Sheet3!$D$1:$E$7,2,0))</f>
        <v/>
      </c>
      <c r="LA8" s="9" t="str">
        <f>IF(LA$7="","",VLOOKUP(WEEKDAY(DATE($B$4,$B$5+$B$3-1,LA7),2),Sheet3!$D$1:$E$7,2,0))</f>
        <v/>
      </c>
      <c r="LB8" s="9" t="str">
        <f>IF(LB$7="","",VLOOKUP(WEEKDAY(DATE($B$4,$B$5+$B$3-1,LB7),2),Sheet3!$D$1:$E$7,2,0))</f>
        <v/>
      </c>
      <c r="LC8" s="9" t="str">
        <f>IF(LC$7="","",VLOOKUP(WEEKDAY(DATE($B$4,$B$5+$B$3-1,LC7),2),Sheet3!$D$1:$E$7,2,0))</f>
        <v/>
      </c>
      <c r="LD8" s="9" t="str">
        <f>IF(LD$7="","",VLOOKUP(WEEKDAY(DATE($B$4,$B$5+$B$3-1,LD7),2),Sheet3!$D$1:$E$7,2,0))</f>
        <v/>
      </c>
      <c r="LE8" s="9" t="str">
        <f>IF(LE$7="","",VLOOKUP(WEEKDAY(DATE($B$4,$B$5+$B$3-1,LE7),2),Sheet3!$D$1:$E$7,2,0))</f>
        <v/>
      </c>
      <c r="LF8" s="9" t="str">
        <f>IF(LF$7="","",VLOOKUP(WEEKDAY(DATE($B$4,$B$5+$B$3-1,LF7),2),Sheet3!$D$1:$E$7,2,0))</f>
        <v/>
      </c>
      <c r="LG8" s="9" t="str">
        <f>IF(LG$7="","",VLOOKUP(WEEKDAY(DATE($B$4,$B$5+$B$3-1,LG7),2),Sheet3!$D$1:$E$7,2,0))</f>
        <v/>
      </c>
      <c r="LH8" s="9" t="str">
        <f>IF(LH$7="","",VLOOKUP(WEEKDAY(DATE($B$4,$B$5+$B$3-1,LH7),2),Sheet3!$D$1:$E$7,2,0))</f>
        <v/>
      </c>
      <c r="LI8" s="9" t="str">
        <f>IF(LI$7="","",VLOOKUP(WEEKDAY(DATE($B$4,$B$5+$B$3-1,LI7),2),Sheet3!$D$1:$E$7,2,0))</f>
        <v/>
      </c>
      <c r="LJ8" s="9" t="str">
        <f>IF(LJ$7="","",VLOOKUP(WEEKDAY(DATE($B$4,$B$5+$B$3-1,LJ7),2),Sheet3!$D$1:$E$7,2,0))</f>
        <v/>
      </c>
      <c r="LK8" s="9" t="str">
        <f>IF(LK$7="","",VLOOKUP(WEEKDAY(DATE($B$4,$B$5+$B$3-1,LK7),2),Sheet3!$D$1:$E$7,2,0))</f>
        <v/>
      </c>
      <c r="LL8" s="9" t="str">
        <f>IF(LL$7="","",VLOOKUP(WEEKDAY(DATE($B$4,$B$5+$B$3-1,LL7),2),Sheet3!$D$1:$E$7,2,0))</f>
        <v/>
      </c>
      <c r="LM8" s="9" t="str">
        <f>IF(LM$7="","",VLOOKUP(WEEKDAY(DATE($B$4,$B$5+$B$3-1,LM7),2),Sheet3!$D$1:$E$7,2,0))</f>
        <v/>
      </c>
      <c r="LN8" s="9" t="str">
        <f>IF(LN$7="","",VLOOKUP(WEEKDAY(DATE($B$4,$B$5+$B$3-1,LN7),2),Sheet3!$D$1:$E$7,2,0))</f>
        <v/>
      </c>
      <c r="LO8" s="9" t="str">
        <f>IF(LO$7="","",VLOOKUP(WEEKDAY(DATE($B$4,$B$5+$B$3-1,LO7),2),Sheet3!$D$1:$E$7,2,0))</f>
        <v/>
      </c>
      <c r="LP8" s="9" t="str">
        <f>IF(LP$7="","",VLOOKUP(WEEKDAY(DATE($B$4,$B$5+$B$3-1,LP7),2),Sheet3!$D$1:$E$7,2,0))</f>
        <v/>
      </c>
      <c r="LQ8" s="9" t="str">
        <f>IF(LQ$7="","",VLOOKUP(WEEKDAY(DATE($B$4,$B$5+$B$3-1,LQ7),2),Sheet3!$D$1:$E$7,2,0))</f>
        <v/>
      </c>
      <c r="LR8" s="9" t="str">
        <f>IF(LR$7="","",VLOOKUP(WEEKDAY(DATE($B$4,$B$5+$B$3-1,LR7),2),Sheet3!$D$1:$E$7,2,0))</f>
        <v/>
      </c>
      <c r="LS8" s="9" t="str">
        <f>IF(LS$7="","",VLOOKUP(WEEKDAY(DATE($B$4,$B$5+$B$3-1,LS7),2),Sheet3!$D$1:$E$7,2,0))</f>
        <v/>
      </c>
      <c r="LT8" s="9" t="str">
        <f>IF(LT$7="","",VLOOKUP(WEEKDAY(DATE($B$4,$B$5+$B$3-1,LT7),2),Sheet3!$D$1:$E$7,2,0))</f>
        <v/>
      </c>
      <c r="LU8" s="9" t="str">
        <f>IF(LU$7="","",VLOOKUP(WEEKDAY(DATE($B$4,$B$5+$B$3-1,LU7),2),Sheet3!$D$1:$E$7,2,0))</f>
        <v/>
      </c>
      <c r="LV8" s="9" t="str">
        <f>IF(LV$7="","",VLOOKUP(WEEKDAY(DATE($B$4,$B$5+$B$3-1,LV7),2),Sheet3!$D$1:$E$7,2,0))</f>
        <v/>
      </c>
      <c r="LW8" s="9" t="str">
        <f>IF(LW$7="","",VLOOKUP(WEEKDAY(DATE($B$4,$B$5+$B$3-1,LW7),2),Sheet3!$D$1:$E$7,2,0))</f>
        <v/>
      </c>
      <c r="LX8" s="9" t="str">
        <f>IF(LX$7="","",VLOOKUP(WEEKDAY(DATE($B$4,$B$5+$B$3-1,LX7),2),Sheet3!$D$1:$E$7,2,0))</f>
        <v/>
      </c>
      <c r="LY8" s="9" t="str">
        <f>IF(LY$7="","",VLOOKUP(WEEKDAY(DATE($B$4,$B$5+$B$3-1,LY7),2),Sheet3!$D$1:$E$7,2,0))</f>
        <v/>
      </c>
      <c r="LZ8" s="9" t="str">
        <f>IF(LZ$7="","",VLOOKUP(WEEKDAY(DATE($B$4,$B$5+$B$3-1,LZ7),2),Sheet3!$D$1:$E$7,2,0))</f>
        <v/>
      </c>
      <c r="MA8" s="9" t="str">
        <f>IF(MA$7="","",VLOOKUP(WEEKDAY(DATE($B$4,$B$5+$B$3-1,MA7),2),Sheet3!$D$1:$E$7,2,0))</f>
        <v/>
      </c>
      <c r="MB8" s="9" t="str">
        <f>IF(MB$7="","",VLOOKUP(WEEKDAY(DATE($B$4,$B$5+$B$3-1,MB7),2),Sheet3!$D$1:$E$7,2,0))</f>
        <v/>
      </c>
      <c r="MC8" s="9" t="str">
        <f>IF(MC$7="","",VLOOKUP(WEEKDAY(DATE($B$4,$B$5+$B$3-1,MC7),2),Sheet3!$D$1:$E$7,2,0))</f>
        <v/>
      </c>
      <c r="MD8" s="9" t="str">
        <f>IF(MD$7="","",VLOOKUP(WEEKDAY(DATE($B$4,$B$5+$B$3-1,MD7),2),Sheet3!$D$1:$E$7,2,0))</f>
        <v/>
      </c>
      <c r="ME8" s="9" t="str">
        <f>IF(ME$7="","",VLOOKUP(WEEKDAY(DATE($B$4,$B$5+$B$3-1,ME7),2),Sheet3!$D$1:$E$7,2,0))</f>
        <v/>
      </c>
      <c r="MF8" s="9" t="str">
        <f>IF(MF$7="","",VLOOKUP(WEEKDAY(DATE($B$4,$B$5+$B$3-1,MF7),2),Sheet3!$D$1:$E$7,2,0))</f>
        <v/>
      </c>
      <c r="MG8" s="9" t="str">
        <f>IF(MG$7="","",VLOOKUP(WEEKDAY(DATE($B$4,$B$5+$B$3-1,MG7),2),Sheet3!$D$1:$E$7,2,0))</f>
        <v/>
      </c>
      <c r="MH8" s="9" t="str">
        <f>IF(MH$7="","",VLOOKUP(WEEKDAY(DATE($B$4,$B$5+$B$3-1,MH7),2),Sheet3!$D$1:$E$7,2,0))</f>
        <v/>
      </c>
      <c r="MI8" s="9" t="str">
        <f>IF(MI$7="","",VLOOKUP(WEEKDAY(DATE($B$4,$B$5+$B$3-1,MI7),2),Sheet3!$D$1:$E$7,2,0))</f>
        <v/>
      </c>
      <c r="MJ8" s="9" t="str">
        <f>IF(MJ$7="","",VLOOKUP(WEEKDAY(DATE($B$4,$B$5+$B$3-1,MJ7),2),Sheet3!$D$1:$E$7,2,0))</f>
        <v/>
      </c>
      <c r="MK8" s="9" t="str">
        <f>IF(MK$7="","",VLOOKUP(WEEKDAY(DATE($B$4,$B$5+$B$3-1,MK7),2),Sheet3!$D$1:$E$7,2,0))</f>
        <v/>
      </c>
      <c r="ML8" s="9" t="str">
        <f>IF(ML$7="","",VLOOKUP(WEEKDAY(DATE($B$4,$B$5+$B$3-1,ML7),2),Sheet3!$D$1:$E$7,2,0))</f>
        <v/>
      </c>
      <c r="MM8" s="9" t="str">
        <f>IF(MM$7="","",VLOOKUP(WEEKDAY(DATE($B$4,$B$5+$B$3-1,MM7),2),Sheet3!$D$1:$E$7,2,0))</f>
        <v/>
      </c>
      <c r="MN8" s="9" t="str">
        <f>IF(MN$7="","",VLOOKUP(WEEKDAY(DATE($B$4,$B$5+$B$3-1,MN7),2),Sheet3!$D$1:$E$7,2,0))</f>
        <v/>
      </c>
      <c r="MO8" s="9" t="str">
        <f>IF(MO$7="","",VLOOKUP(WEEKDAY(DATE($B$4,$B$5+$B$3-1,MO7),2),Sheet3!$D$1:$E$7,2,0))</f>
        <v/>
      </c>
      <c r="MP8" s="9" t="str">
        <f>IF(MP$7="","",VLOOKUP(WEEKDAY(DATE($B$4,$B$5+$B$3-1,MP7),2),Sheet3!$D$1:$E$7,2,0))</f>
        <v/>
      </c>
      <c r="MQ8" s="9" t="str">
        <f>IF(MQ$7="","",VLOOKUP(WEEKDAY(DATE($B$4,$B$5+$B$3-1,MQ7),2),Sheet3!$D$1:$E$7,2,0))</f>
        <v/>
      </c>
      <c r="MR8" s="9" t="str">
        <f>IF(MR$7="","",VLOOKUP(WEEKDAY(DATE($B$4,$B$5+$B$3-1,MR7),2),Sheet3!$D$1:$E$7,2,0))</f>
        <v/>
      </c>
      <c r="MS8" s="9" t="str">
        <f>IF(MS$7="","",VLOOKUP(WEEKDAY(DATE($B$4,$B$5+$B$3-1,MS7),2),Sheet3!$D$1:$E$7,2,0))</f>
        <v/>
      </c>
      <c r="MT8" s="9" t="str">
        <f>IF(MT$7="","",VLOOKUP(WEEKDAY(DATE($B$4,$B$5+$B$3-1,MT7),2),Sheet3!$D$1:$E$7,2,0))</f>
        <v/>
      </c>
      <c r="MU8" s="9" t="str">
        <f>IF(MU$7="","",VLOOKUP(WEEKDAY(DATE($B$4,$B$5+$B$3-1,MU7),2),Sheet3!$D$1:$E$7,2,0))</f>
        <v/>
      </c>
      <c r="MV8" s="9" t="str">
        <f>IF(MV$7="","",VLOOKUP(WEEKDAY(DATE($B$4,$B$5+$B$3-1,MV7),2),Sheet3!$D$1:$E$7,2,0))</f>
        <v/>
      </c>
      <c r="MW8" s="9" t="str">
        <f>IF(MW$7="","",VLOOKUP(WEEKDAY(DATE($B$4,$B$5+$B$3-1,MW7),2),Sheet3!$D$1:$E$7,2,0))</f>
        <v/>
      </c>
      <c r="MX8" s="9" t="str">
        <f>IF(MX$7="","",VLOOKUP(WEEKDAY(DATE($B$4,$B$5+$B$3-1,MX7),2),Sheet3!$D$1:$E$7,2,0))</f>
        <v/>
      </c>
      <c r="MY8" s="9" t="str">
        <f>IF(MY$7="","",VLOOKUP(WEEKDAY(DATE($B$4,$B$5+$B$3-1,MY7),2),Sheet3!$D$1:$E$7,2,0))</f>
        <v/>
      </c>
      <c r="MZ8" s="9" t="str">
        <f>IF(MZ$7="","",VLOOKUP(WEEKDAY(DATE($B$4,$B$5+$B$3-1,MZ7),2),Sheet3!$D$1:$E$7,2,0))</f>
        <v/>
      </c>
      <c r="NA8" s="9" t="str">
        <f>IF(NA$7="","",VLOOKUP(WEEKDAY(DATE($B$4,$B$5+$B$3-1,NA7),2),Sheet3!$D$1:$E$7,2,0))</f>
        <v/>
      </c>
      <c r="NB8" s="9" t="str">
        <f>IF(NB$7="","",VLOOKUP(WEEKDAY(DATE($B$4,$B$5+$B$3-1,NB7),2),Sheet3!$D$1:$E$7,2,0))</f>
        <v/>
      </c>
      <c r="NC8" s="9" t="str">
        <f>IF(NC$7="","",VLOOKUP(WEEKDAY(DATE($B$4,$B$5+$B$3-1,NC7),2),Sheet3!$D$1:$E$7,2,0))</f>
        <v/>
      </c>
      <c r="ND8" s="9" t="str">
        <f>IF(ND$7="","",VLOOKUP(WEEKDAY(DATE($B$4,$B$5+$B$3-1,ND7),2),Sheet3!$D$1:$E$7,2,0))</f>
        <v/>
      </c>
      <c r="NE8" s="9" t="str">
        <f>IF(NE$7="","",VLOOKUP(WEEKDAY(DATE($B$4,$B$5+$B$3-1,NE7),2),Sheet3!$D$1:$E$7,2,0))</f>
        <v/>
      </c>
      <c r="NF8" s="9" t="str">
        <f>IF(NF$7="","",VLOOKUP(WEEKDAY(DATE($B$4,$B$5+$B$3-1,NF7),2),Sheet3!$D$1:$E$7,2,0))</f>
        <v/>
      </c>
      <c r="NG8" s="9" t="str">
        <f>IF(NG$7="","",VLOOKUP(WEEKDAY(DATE($B$4,$B$5+$B$3-1,NG7),2),Sheet3!$D$1:$E$7,2,0))</f>
        <v/>
      </c>
      <c r="NH8" s="9" t="str">
        <f>IF(NH$7="","",VLOOKUP(WEEKDAY(DATE($B$4,$B$5+$B$3-1,NH7),2),Sheet3!$D$1:$E$7,2,0))</f>
        <v/>
      </c>
      <c r="NI8" s="9" t="str">
        <f>IF(NI$7="","",VLOOKUP(WEEKDAY(DATE($B$4,$B$5+$B$3-1,NI7),2),Sheet3!$D$1:$E$7,2,0))</f>
        <v/>
      </c>
      <c r="NJ8" s="9" t="str">
        <f>IF(NJ$7="","",VLOOKUP(WEEKDAY(DATE($B$4,$B$5+$B$3-1,NJ7),2),Sheet3!$D$1:$E$7,2,0))</f>
        <v/>
      </c>
      <c r="NK8" s="81"/>
      <c r="NL8" s="83"/>
      <c r="NM8" s="85"/>
      <c r="NN8" s="85"/>
      <c r="NO8" s="85"/>
      <c r="NP8" s="85"/>
      <c r="NQ8" s="85"/>
      <c r="NR8" s="85"/>
      <c r="NS8" s="85"/>
      <c r="NX8" s="24" t="s">
        <v>38</v>
      </c>
      <c r="NY8" s="24" t="s">
        <v>39</v>
      </c>
    </row>
    <row r="9" spans="1:762" ht="15" hidden="1" customHeight="1" x14ac:dyDescent="0.35">
      <c r="B9" s="4" t="s">
        <v>18</v>
      </c>
      <c r="C9" s="21" t="str">
        <f>IF(C$7="","",WEEKNUM(DATE($B$4,VLOOKUP($B$3,Sheet3!$A$1:$B$12,2,0),COLUMNS($B$8:B8)),2))</f>
        <v/>
      </c>
      <c r="D9" s="21" t="str">
        <f>IF(D$7="","",WEEKNUM(DATE($B$4,VLOOKUP($B$3,Sheet3!$A$1:$B$12,2,0),COLUMNS($B$8:C8)),2))</f>
        <v/>
      </c>
      <c r="E9" s="21" t="str">
        <f>IF(E$7="","",WEEKNUM(DATE($B$4,VLOOKUP($B$3,Sheet3!$A$1:$B$12,2,0),COLUMNS($B$8:D8)),2))</f>
        <v/>
      </c>
      <c r="F9" s="21" t="str">
        <f>IF(F$7="","",WEEKNUM(DATE($B$4,VLOOKUP($B$3,Sheet3!$A$1:$B$12,2,0),COLUMNS($B$8:E8)),2))</f>
        <v/>
      </c>
      <c r="G9" s="21" t="str">
        <f>IF(G$7="","",WEEKNUM(DATE($B$4,VLOOKUP($B$3,Sheet3!$A$1:$B$12,2,0),COLUMNS($B$8:F8)),2))</f>
        <v/>
      </c>
      <c r="H9" s="21" t="str">
        <f>IF(H$7="","",WEEKNUM(DATE($B$4,VLOOKUP($B$3,Sheet3!$A$1:$B$12,2,0),COLUMNS($B$8:G8)),2))</f>
        <v/>
      </c>
      <c r="I9" s="21" t="str">
        <f>IF(I$7="","",WEEKNUM(DATE($B$4,VLOOKUP($B$3,Sheet3!$A$1:$B$12,2,0),COLUMNS($B$8:H8)),2))</f>
        <v/>
      </c>
      <c r="J9" s="21" t="str">
        <f>IF(J$7="","",WEEKNUM(DATE($B$4,VLOOKUP($B$3,Sheet3!$A$1:$B$12,2,0),COLUMNS($B$8:I8)),2))</f>
        <v/>
      </c>
      <c r="K9" s="21" t="str">
        <f>IF(K$7="","",WEEKNUM(DATE($B$4,VLOOKUP($B$3,Sheet3!$A$1:$B$12,2,0),COLUMNS($B$8:J8)),2))</f>
        <v/>
      </c>
      <c r="L9" s="21" t="str">
        <f>IF(L$7="","",WEEKNUM(DATE($B$4,VLOOKUP($B$3,Sheet3!$A$1:$B$12,2,0),COLUMNS($B$8:K8)),2))</f>
        <v/>
      </c>
      <c r="M9" s="21" t="str">
        <f>IF(M$7="","",WEEKNUM(DATE($B$4,VLOOKUP($B$3,Sheet3!$A$1:$B$12,2,0),COLUMNS($B$8:L8)),2))</f>
        <v/>
      </c>
      <c r="N9" s="21" t="str">
        <f>IF(N$7="","",WEEKNUM(DATE($B$4,VLOOKUP($B$3,Sheet3!$A$1:$B$12,2,0),COLUMNS($B$8:M8)),2))</f>
        <v/>
      </c>
      <c r="O9" s="21" t="str">
        <f>IF(O$7="","",WEEKNUM(DATE($B$4,VLOOKUP($B$3,Sheet3!$A$1:$B$12,2,0),COLUMNS($B$8:N8)),2))</f>
        <v/>
      </c>
      <c r="P9" s="21" t="str">
        <f>IF(P$7="","",WEEKNUM(DATE($B$4,VLOOKUP($B$3,Sheet3!$A$1:$B$12,2,0),COLUMNS($B$8:O8)),2))</f>
        <v/>
      </c>
      <c r="Q9" s="21" t="str">
        <f>IF(Q$7="","",WEEKNUM(DATE($B$4,VLOOKUP($B$3,Sheet3!$A$1:$B$12,2,0),COLUMNS($B$8:P8)),2))</f>
        <v/>
      </c>
      <c r="R9" s="21" t="str">
        <f>IF(R$7="","",WEEKNUM(DATE($B$4,VLOOKUP($B$3,Sheet3!$A$1:$B$12,2,0),COLUMNS($B$8:Q8)),2))</f>
        <v/>
      </c>
      <c r="S9" s="21" t="str">
        <f>IF(S$7="","",WEEKNUM(DATE($B$4,VLOOKUP($B$3,Sheet3!$A$1:$B$12,2,0),COLUMNS($B$8:R8)),2))</f>
        <v/>
      </c>
      <c r="T9" s="21" t="str">
        <f>IF(T$7="","",WEEKNUM(DATE($B$4,VLOOKUP($B$3,Sheet3!$A$1:$B$12,2,0),COLUMNS($B$8:S8)),2))</f>
        <v/>
      </c>
      <c r="U9" s="21" t="str">
        <f>IF(U$7="","",WEEKNUM(DATE($B$4,VLOOKUP($B$3,Sheet3!$A$1:$B$12,2,0),COLUMNS($B$8:T8)),2))</f>
        <v/>
      </c>
      <c r="V9" s="21" t="str">
        <f>IF(V$7="","",WEEKNUM(DATE($B$4,VLOOKUP($B$3,Sheet3!$A$1:$B$12,2,0),COLUMNS($B$8:U8)),2))</f>
        <v/>
      </c>
      <c r="W9" s="21" t="str">
        <f>IF(W$7="","",WEEKNUM(DATE($B$4,VLOOKUP($B$3,Sheet3!$A$1:$B$12,2,0),COLUMNS($B$8:V8)),2))</f>
        <v/>
      </c>
      <c r="X9" s="21" t="str">
        <f>IF(X$7="","",WEEKNUM(DATE($B$4,VLOOKUP($B$3,Sheet3!$A$1:$B$12,2,0),COLUMNS($B$8:W8)),2))</f>
        <v/>
      </c>
      <c r="Y9" s="21" t="str">
        <f>IF(Y$7="","",WEEKNUM(DATE($B$4,VLOOKUP($B$3,Sheet3!$A$1:$B$12,2,0),COLUMNS($B$8:X8)),2))</f>
        <v/>
      </c>
      <c r="Z9" s="21" t="str">
        <f>IF(Z$7="","",WEEKNUM(DATE($B$4,VLOOKUP($B$3,Sheet3!$A$1:$B$12,2,0),COLUMNS($B$8:Y8)),2))</f>
        <v/>
      </c>
      <c r="AA9" s="21" t="str">
        <f>IF(AA$7="","",WEEKNUM(DATE($B$4,VLOOKUP($B$3,Sheet3!$A$1:$B$12,2,0),COLUMNS($B$8:Z8)),2))</f>
        <v/>
      </c>
      <c r="AB9" s="21" t="str">
        <f>IF(AB$7="","",WEEKNUM(DATE($B$4,VLOOKUP($B$3,Sheet3!$A$1:$B$12,2,0),COLUMNS($B$8:AA8)),2))</f>
        <v/>
      </c>
      <c r="AC9" s="21" t="str">
        <f>IF(AC$7="","",WEEKNUM(DATE($B$4,VLOOKUP($B$3,Sheet3!$A$1:$B$12,2,0),COLUMNS($B$8:AB8)),2))</f>
        <v/>
      </c>
      <c r="AD9" s="21" t="str">
        <f>IF(AD$7="","",WEEKNUM(DATE($B$4,VLOOKUP($B$3,Sheet3!$A$1:$B$12,2,0),COLUMNS($B$8:AC8)),2))</f>
        <v/>
      </c>
      <c r="AE9" s="21" t="str">
        <f>IF(AE$7="","",WEEKNUM(DATE($B$4,VLOOKUP($B$3,Sheet3!$A$1:$B$12,2,0),COLUMNS($B$8:AD8)),2))</f>
        <v/>
      </c>
      <c r="AF9" s="21" t="str">
        <f>IF(AF$7="","",WEEKNUM(DATE($B$4,VLOOKUP($B$3,Sheet3!$A$1:$B$12,2,0),COLUMNS($B$8:AE8)),2))</f>
        <v/>
      </c>
      <c r="AG9" s="21" t="e">
        <f>IF(AG$7="","",WEEKNUM(DATE($B$4,VLOOKUP($B$3,Sheet3!$A$1:$B$12,2,0),COLUMNS($B$8:AF8)),2))</f>
        <v>#N/A</v>
      </c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4"/>
      <c r="NL9" s="22"/>
      <c r="NM9" s="23"/>
      <c r="NN9" s="23"/>
      <c r="NO9" s="23"/>
      <c r="NP9" s="23"/>
      <c r="NQ9" s="23"/>
      <c r="NR9" s="23"/>
      <c r="NS9" s="23"/>
      <c r="NX9" s="1"/>
      <c r="NY9" s="1"/>
    </row>
    <row r="10" spans="1:762" x14ac:dyDescent="0.35">
      <c r="B10" s="54" t="s">
        <v>73</v>
      </c>
      <c r="C10" s="49"/>
      <c r="D10" s="36"/>
      <c r="E10" s="36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15" cm="1">
        <f t="array" aca="1" ref="NK10" ca="1">SUMPRODUCT((OFFSET($B10,0,31*($B$5-1)+1,1,31)&lt;&gt;"")*(IF(OFFSET($B10,0,31*($B$5-1)+1,1,31)=$NY$12,0.5,IF(OFFSET($B10,0,31*($B$5-1)+1,1,31)=$NY$13,0.5,1))*(OFFSET($B$6,0,31*($B$5-1)+1,1,31))))</f>
        <v>0</v>
      </c>
      <c r="NL10" s="19" cm="1">
        <f t="array" aca="1" ref="NL10" ca="1">SUMPRODUCT((OFFSET($B10,0,1,1,372)&lt;&gt;"")*(IF(OFFSET($B10,0,1,1,372)=$NY$12,0.5,IF(OFFSET($B10,0,1,1,372)=$NY$13,0.5,1))*(OFFSET($B$5,0,1,1,372))))</f>
        <v>0</v>
      </c>
      <c r="NM10" s="38">
        <f t="shared" ref="NM10:NS12" ca="1" si="6">SUMPRODUCT((OFFSET($B10,0,1,1,372)&lt;&gt;"")*(OFFSET($B$5,0,1,1,372))*((OFFSET($B10,0,1,1,372))=NM$7))</f>
        <v>0</v>
      </c>
      <c r="NN10" s="38">
        <f t="shared" ca="1" si="6"/>
        <v>0</v>
      </c>
      <c r="NO10" s="38">
        <f t="shared" ca="1" si="6"/>
        <v>0</v>
      </c>
      <c r="NP10" s="38">
        <f t="shared" ca="1" si="6"/>
        <v>0</v>
      </c>
      <c r="NQ10" s="38">
        <f t="shared" ca="1" si="6"/>
        <v>0</v>
      </c>
      <c r="NR10" s="38">
        <f t="shared" ca="1" si="6"/>
        <v>0</v>
      </c>
      <c r="NS10" s="38">
        <f t="shared" ca="1" si="6"/>
        <v>0</v>
      </c>
      <c r="NX10" s="43" t="s">
        <v>49</v>
      </c>
      <c r="NY10" s="44" t="s">
        <v>57</v>
      </c>
    </row>
    <row r="11" spans="1:762" x14ac:dyDescent="0.35">
      <c r="A11" s="52"/>
      <c r="B11" s="53" t="s">
        <v>76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15" cm="1">
        <f t="array" aca="1" ref="NK11" ca="1">SUMPRODUCT((OFFSET($B11,0,31*($B$5-1)+1,1,31)&lt;&gt;"")*(IF(OFFSET($B11,0,31*($B$5-1)+1,1,31)=$NY$12,0.5,IF(OFFSET($B11,0,31*($B$5-1)+1,1,31)=$NY$13,0.5,1))*(OFFSET($B$6,0,31*($B$5-1)+1,1,31))))</f>
        <v>0</v>
      </c>
      <c r="NL11" s="19" cm="1">
        <f t="array" aca="1" ref="NL11" ca="1">SUMPRODUCT((OFFSET($B11,0,1,1,372)&lt;&gt;"")*(IF(OFFSET($B11,0,1,1,372)=$NY$12,0.5,IF(OFFSET($B11,0,1,1,372)=$NY$13,0.5,1))*(OFFSET($B$5,0,1,1,372))))</f>
        <v>0</v>
      </c>
      <c r="NM11" s="38">
        <f t="shared" ca="1" si="6"/>
        <v>0</v>
      </c>
      <c r="NN11" s="38">
        <f t="shared" ca="1" si="6"/>
        <v>0</v>
      </c>
      <c r="NO11" s="38">
        <f t="shared" ca="1" si="6"/>
        <v>0</v>
      </c>
      <c r="NP11" s="38">
        <f t="shared" ca="1" si="6"/>
        <v>0</v>
      </c>
      <c r="NQ11" s="38">
        <f t="shared" ca="1" si="6"/>
        <v>0</v>
      </c>
      <c r="NR11" s="38">
        <f t="shared" ca="1" si="6"/>
        <v>0</v>
      </c>
      <c r="NS11" s="38">
        <f t="shared" ca="1" si="6"/>
        <v>0</v>
      </c>
      <c r="NX11" s="45" t="s">
        <v>50</v>
      </c>
      <c r="NY11" s="46" t="s">
        <v>51</v>
      </c>
    </row>
    <row r="12" spans="1:762" x14ac:dyDescent="0.35">
      <c r="A12" s="52"/>
      <c r="B12" s="30" t="s">
        <v>74</v>
      </c>
      <c r="C12" s="37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37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3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15" cm="1">
        <f t="array" aca="1" ref="NK12" ca="1">SUMPRODUCT((OFFSET($B12,0,31*($B$5-1)+1,1,31)&lt;&gt;"")*(IF(OFFSET($B12,0,31*($B$5-1)+1,1,31)=$NY$12,0.5,IF(OFFSET($B12,0,31*($B$5-1)+1,1,31)=$NY$13,0.5,1))*(OFFSET($B$6,0,31*($B$5-1)+1,1,31))))</f>
        <v>0</v>
      </c>
      <c r="NL12" s="19" cm="1">
        <f t="array" aca="1" ref="NL12" ca="1">SUMPRODUCT((OFFSET($B12,0,1,1,372)&lt;&gt;"")*(IF(OFFSET($B12,0,1,1,372)=$NY$12,0.5,IF(OFFSET($B12,0,1,1,372)=$NY$13,0.5,1))*(OFFSET($B$5,0,1,1,372))))</f>
        <v>0</v>
      </c>
      <c r="NM12" s="38">
        <f t="shared" ca="1" si="6"/>
        <v>0</v>
      </c>
      <c r="NN12" s="38">
        <f t="shared" ca="1" si="6"/>
        <v>0</v>
      </c>
      <c r="NO12" s="38">
        <f t="shared" ca="1" si="6"/>
        <v>0</v>
      </c>
      <c r="NP12" s="38">
        <f t="shared" ca="1" si="6"/>
        <v>0</v>
      </c>
      <c r="NQ12" s="38">
        <f t="shared" ca="1" si="6"/>
        <v>0</v>
      </c>
      <c r="NR12" s="38">
        <f t="shared" ca="1" si="6"/>
        <v>0</v>
      </c>
      <c r="NS12" s="38">
        <f t="shared" ca="1" si="6"/>
        <v>0</v>
      </c>
      <c r="NX12" s="39" t="s">
        <v>52</v>
      </c>
      <c r="NY12" s="40" t="s">
        <v>35</v>
      </c>
    </row>
    <row r="13" spans="1:762" x14ac:dyDescent="0.35">
      <c r="A13" s="52"/>
      <c r="B13" s="30" t="s">
        <v>74</v>
      </c>
      <c r="C13" s="37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3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15" cm="1">
        <f t="array" aca="1" ref="NK13" ca="1">SUMPRODUCT((OFFSET($B13,0,31*($B$5-1)+1,1,31)&lt;&gt;"")*(IF(OFFSET($B13,0,31*($B$5-1)+1,1,31)=$NY$12,0.5,IF(OFFSET($B13,0,31*($B$5-1)+1,1,31)=$NY$13,0.5,1))*(OFFSET($B$6,0,31*($B$5-1)+1,1,31))))</f>
        <v>0</v>
      </c>
      <c r="NL13" s="19" cm="1">
        <f t="array" aca="1" ref="NL13" ca="1">SUMPRODUCT((OFFSET($B13,0,1,1,372)&lt;&gt;"")*(IF(OFFSET($B13,0,1,1,372)=$NY$12,0.5,IF(OFFSET($B13,0,1,1,372)=$NY$13,0.5,1))*(OFFSET($B$5,0,1,1,372))))</f>
        <v>0</v>
      </c>
      <c r="NM13" s="38"/>
      <c r="NN13" s="38"/>
      <c r="NO13" s="38"/>
      <c r="NP13" s="38"/>
      <c r="NQ13" s="38"/>
      <c r="NR13" s="38"/>
      <c r="NS13" s="38"/>
      <c r="NX13" s="39" t="s">
        <v>53</v>
      </c>
      <c r="NY13" s="40" t="s">
        <v>36</v>
      </c>
    </row>
    <row r="14" spans="1:762" x14ac:dyDescent="0.35">
      <c r="A14" s="52"/>
      <c r="B14" s="63" t="s">
        <v>64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37"/>
      <c r="AH14" s="37"/>
      <c r="AI14" s="37"/>
      <c r="AJ14" s="2"/>
      <c r="AK14" s="2"/>
      <c r="AL14" s="37"/>
      <c r="AM14" s="37"/>
      <c r="AN14" s="37"/>
      <c r="AO14" s="37"/>
      <c r="AP14" s="37"/>
      <c r="AQ14" s="2"/>
      <c r="AR14" s="2"/>
      <c r="AS14" s="37"/>
      <c r="AT14" s="37"/>
      <c r="AU14" s="37"/>
      <c r="AV14" s="37"/>
      <c r="AW14" s="37"/>
      <c r="AX14" s="2"/>
      <c r="AY14" s="2"/>
      <c r="AZ14" s="2"/>
      <c r="BA14" s="37"/>
      <c r="BB14" s="37"/>
      <c r="BC14" s="37"/>
      <c r="BD14" s="37"/>
      <c r="BE14" s="2"/>
      <c r="BF14" s="2"/>
      <c r="BG14" s="37"/>
      <c r="BH14" s="37"/>
      <c r="BI14" s="37"/>
      <c r="BJ14" s="37"/>
      <c r="BK14" s="37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3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15" cm="1">
        <f t="array" aca="1" ref="NK14" ca="1">SUMPRODUCT((OFFSET($B14,0,31*($B$5-1)+1,1,31)&lt;&gt;"")*(IF(OFFSET($B14,0,31*($B$5-1)+1,1,31)=$NY$12,0.5,IF(OFFSET($B14,0,31*($B$5-1)+1,1,31)=$NY$13,0.5,1))*(OFFSET($B$6,0,31*($B$5-1)+1,1,31))))</f>
        <v>0</v>
      </c>
      <c r="NL14" s="19" cm="1">
        <f t="array" aca="1" ref="NL14" ca="1">SUMPRODUCT((OFFSET($B14,0,1,1,372)&lt;&gt;"")*(IF(OFFSET($B14,0,1,1,372)=$NY$12,0.5,IF(OFFSET($B14,0,1,1,372)=$NY$13,0.5,1))*(OFFSET($B$5,0,1,1,372))))</f>
        <v>0</v>
      </c>
      <c r="NM14" s="38">
        <f t="shared" ref="NM14:NS28" ca="1" si="7">SUMPRODUCT((OFFSET($B14,0,1,1,372)&lt;&gt;"")*(OFFSET($B$5,0,1,1,372))*((OFFSET($B14,0,1,1,372))=NM$7))</f>
        <v>0</v>
      </c>
      <c r="NN14" s="38">
        <f t="shared" ca="1" si="7"/>
        <v>0</v>
      </c>
      <c r="NO14" s="38">
        <f t="shared" ca="1" si="7"/>
        <v>0</v>
      </c>
      <c r="NP14" s="38">
        <f t="shared" ca="1" si="7"/>
        <v>0</v>
      </c>
      <c r="NQ14" s="38">
        <f t="shared" ca="1" si="7"/>
        <v>0</v>
      </c>
      <c r="NR14" s="38">
        <f t="shared" ca="1" si="7"/>
        <v>0</v>
      </c>
      <c r="NS14" s="38">
        <f t="shared" ca="1" si="7"/>
        <v>0</v>
      </c>
      <c r="NX14" s="47" t="s">
        <v>54</v>
      </c>
      <c r="NY14" s="48" t="s">
        <v>58</v>
      </c>
    </row>
    <row r="15" spans="1:762" x14ac:dyDescent="0.35">
      <c r="A15" s="52"/>
      <c r="B15" s="53" t="s">
        <v>76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15" cm="1">
        <f t="array" aca="1" ref="NK15" ca="1">SUMPRODUCT((OFFSET($B15,0,31*($B$5-1)+1,1,31)&lt;&gt;"")*(IF(OFFSET($B15,0,31*($B$5-1)+1,1,31)=$NY$12,0.5,IF(OFFSET($B15,0,31*($B$5-1)+1,1,31)=$NY$13,0.5,1))*(OFFSET($B$6,0,31*($B$5-1)+1,1,31))))</f>
        <v>0</v>
      </c>
      <c r="NL15" s="19" cm="1">
        <f t="array" aca="1" ref="NL15" ca="1">SUMPRODUCT((OFFSET($B15,0,1,1,372)&lt;&gt;"")*(IF(OFFSET($B15,0,1,1,372)=$NY$12,0.5,IF(OFFSET($B15,0,1,1,372)=$NY$13,0.5,1))*(OFFSET($B$5,0,1,1,372))))</f>
        <v>0</v>
      </c>
      <c r="NM15" s="38">
        <f t="shared" ca="1" si="7"/>
        <v>0</v>
      </c>
      <c r="NN15" s="38">
        <f t="shared" ca="1" si="7"/>
        <v>0</v>
      </c>
      <c r="NO15" s="38">
        <f t="shared" ca="1" si="7"/>
        <v>0</v>
      </c>
      <c r="NP15" s="38">
        <f t="shared" ca="1" si="7"/>
        <v>0</v>
      </c>
      <c r="NQ15" s="38">
        <f t="shared" ca="1" si="7"/>
        <v>0</v>
      </c>
      <c r="NR15" s="38">
        <f t="shared" ca="1" si="7"/>
        <v>0</v>
      </c>
      <c r="NS15" s="38">
        <f t="shared" ca="1" si="7"/>
        <v>0</v>
      </c>
      <c r="NX15" s="41" t="s">
        <v>55</v>
      </c>
      <c r="NY15" s="42" t="s">
        <v>27</v>
      </c>
    </row>
    <row r="16" spans="1:762" x14ac:dyDescent="0.35">
      <c r="A16" s="52"/>
      <c r="B16" s="30" t="s">
        <v>74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15" cm="1">
        <f t="array" aca="1" ref="NK16" ca="1">SUMPRODUCT((OFFSET($B16,0,31*($B$5-1)+1,1,31)&lt;&gt;"")*(IF(OFFSET($B16,0,31*($B$5-1)+1,1,31)=$NY$12,0.5,IF(OFFSET($B16,0,31*($B$5-1)+1,1,31)=$NY$13,0.5,1))*(OFFSET($B$6,0,31*($B$5-1)+1,1,31))))</f>
        <v>0</v>
      </c>
      <c r="NL16" s="19" cm="1">
        <f t="array" aca="1" ref="NL16" ca="1">SUMPRODUCT((OFFSET($B16,0,1,1,372)&lt;&gt;"")*(IF(OFFSET($B16,0,1,1,372)=$NY$12,0.5,IF(OFFSET($B16,0,1,1,372)=$NY$13,0.5,1))*(OFFSET($B$5,0,1,1,372))))</f>
        <v>0</v>
      </c>
      <c r="NM16" s="38"/>
      <c r="NN16" s="38"/>
      <c r="NO16" s="38"/>
      <c r="NP16" s="38"/>
      <c r="NQ16" s="38"/>
      <c r="NR16" s="38"/>
      <c r="NS16" s="38"/>
      <c r="NX16" s="41" t="s">
        <v>56</v>
      </c>
      <c r="NY16" s="42" t="s">
        <v>37</v>
      </c>
    </row>
    <row r="17" spans="1:389" x14ac:dyDescent="0.35">
      <c r="A17" s="52"/>
      <c r="B17" s="62" t="s">
        <v>62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15" cm="1">
        <f t="array" aca="1" ref="NK17" ca="1">SUMPRODUCT((OFFSET($B17,0,31*($B$5-1)+1,1,31)&lt;&gt;"")*(IF(OFFSET($B17,0,31*($B$5-1)+1,1,31)=$NY$12,0.5,IF(OFFSET($B17,0,31*($B$5-1)+1,1,31)=$NY$13,0.5,1))*(OFFSET($B$6,0,31*($B$5-1)+1,1,31))))</f>
        <v>0</v>
      </c>
      <c r="NL17" s="19" cm="1">
        <f t="array" aca="1" ref="NL17" ca="1">SUMPRODUCT((OFFSET($B17,0,1,1,372)&lt;&gt;"")*(IF(OFFSET($B17,0,1,1,372)=$NY$12,0.5,IF(OFFSET($B17,0,1,1,372)=$NY$13,0.5,1))*(OFFSET($B$5,0,1,1,372))))</f>
        <v>0</v>
      </c>
      <c r="NM17" s="38"/>
      <c r="NN17" s="38"/>
      <c r="NO17" s="38"/>
      <c r="NP17" s="38"/>
      <c r="NQ17" s="38"/>
      <c r="NR17" s="38"/>
      <c r="NS17" s="38"/>
      <c r="NX17" s="66" t="s">
        <v>65</v>
      </c>
      <c r="NY17" s="67" t="s">
        <v>59</v>
      </c>
    </row>
    <row r="18" spans="1:389" x14ac:dyDescent="0.35">
      <c r="A18" s="52"/>
      <c r="B18" s="30" t="s">
        <v>74</v>
      </c>
      <c r="C18" s="37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15" cm="1">
        <f t="array" aca="1" ref="NK18" ca="1">SUMPRODUCT((OFFSET($B18,0,31*($B$5-1)+1,1,31)&lt;&gt;"")*(IF(OFFSET($B18,0,31*($B$5-1)+1,1,31)=$NY$12,0.5,IF(OFFSET($B18,0,31*($B$5-1)+1,1,31)=$NY$13,0.5,1))*(OFFSET($B$6,0,31*($B$5-1)+1,1,31))))</f>
        <v>0</v>
      </c>
      <c r="NL18" s="19" cm="1">
        <f t="array" aca="1" ref="NL18" ca="1">SUMPRODUCT((OFFSET($B18,0,1,1,372)&lt;&gt;"")*(IF(OFFSET($B18,0,1,1,372)=$NY$12,0.5,IF(OFFSET($B18,0,1,1,372)=$NY$13,0.5,1))*(OFFSET($B$5,0,1,1,372))))</f>
        <v>0</v>
      </c>
      <c r="NM18" s="38">
        <f t="shared" ca="1" si="7"/>
        <v>0</v>
      </c>
      <c r="NN18" s="38">
        <f t="shared" ca="1" si="7"/>
        <v>0</v>
      </c>
      <c r="NO18" s="38">
        <f t="shared" ca="1" si="7"/>
        <v>0</v>
      </c>
      <c r="NP18" s="38">
        <f t="shared" ca="1" si="7"/>
        <v>0</v>
      </c>
      <c r="NQ18" s="38">
        <f t="shared" ca="1" si="7"/>
        <v>0</v>
      </c>
      <c r="NR18" s="38">
        <f t="shared" ca="1" si="7"/>
        <v>0</v>
      </c>
      <c r="NS18" s="38">
        <f t="shared" ca="1" si="7"/>
        <v>0</v>
      </c>
      <c r="NX18" s="72" t="s">
        <v>60</v>
      </c>
      <c r="NY18" s="76" t="s">
        <v>61</v>
      </c>
    </row>
    <row r="19" spans="1:389" x14ac:dyDescent="0.35">
      <c r="A19" s="52"/>
      <c r="B19" s="30" t="s">
        <v>74</v>
      </c>
      <c r="C19" s="37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3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15" cm="1">
        <f t="array" aca="1" ref="NK19" ca="1">SUMPRODUCT((OFFSET($B19,0,31*($B$5-1)+1,1,31)&lt;&gt;"")*(IF(OFFSET($B19,0,31*($B$5-1)+1,1,31)=$NY$12,0.5,IF(OFFSET($B19,0,31*($B$5-1)+1,1,31)=$NY$13,0.5,1))*(OFFSET($B$6,0,31*($B$5-1)+1,1,31))))</f>
        <v>0</v>
      </c>
      <c r="NL19" s="19" cm="1">
        <f t="array" aca="1" ref="NL19" ca="1">SUMPRODUCT((OFFSET($B19,0,1,1,372)&lt;&gt;"")*(IF(OFFSET($B19,0,1,1,372)=$NY$12,0.5,IF(OFFSET($B19,0,1,1,372)=$NY$13,0.5,1))*(OFFSET($B$5,0,1,1,372))))</f>
        <v>0</v>
      </c>
      <c r="NM19" s="38">
        <f t="shared" ca="1" si="7"/>
        <v>0</v>
      </c>
      <c r="NN19" s="38">
        <f t="shared" ca="1" si="7"/>
        <v>0</v>
      </c>
      <c r="NO19" s="38">
        <f t="shared" ca="1" si="7"/>
        <v>0</v>
      </c>
      <c r="NP19" s="38">
        <f t="shared" ca="1" si="7"/>
        <v>0</v>
      </c>
      <c r="NQ19" s="38">
        <f t="shared" ca="1" si="7"/>
        <v>0</v>
      </c>
      <c r="NR19" s="38">
        <f t="shared" ca="1" si="7"/>
        <v>0</v>
      </c>
      <c r="NS19" s="38">
        <f t="shared" ca="1" si="7"/>
        <v>0</v>
      </c>
    </row>
    <row r="20" spans="1:389" x14ac:dyDescent="0.35">
      <c r="A20" s="52"/>
      <c r="B20" s="30" t="s">
        <v>74</v>
      </c>
      <c r="C20" s="37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3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15" cm="1">
        <f t="array" aca="1" ref="NK20" ca="1">SUMPRODUCT((OFFSET($B20,0,31*($B$5-1)+1,1,31)&lt;&gt;"")*(IF(OFFSET($B20,0,31*($B$5-1)+1,1,31)=$NY$12,0.5,IF(OFFSET($B20,0,31*($B$5-1)+1,1,31)=$NY$13,0.5,1))*(OFFSET($B$6,0,31*($B$5-1)+1,1,31))))</f>
        <v>0</v>
      </c>
      <c r="NL20" s="19" cm="1">
        <f t="array" aca="1" ref="NL20" ca="1">SUMPRODUCT((OFFSET($B20,0,1,1,372)&lt;&gt;"")*(IF(OFFSET($B20,0,1,1,372)=$NY$12,0.5,IF(OFFSET($B20,0,1,1,372)=$NY$13,0.5,1))*(OFFSET($B$5,0,1,1,372))))</f>
        <v>0</v>
      </c>
      <c r="NM20" s="38"/>
      <c r="NN20" s="38"/>
      <c r="NO20" s="38"/>
      <c r="NP20" s="38"/>
      <c r="NQ20" s="38"/>
      <c r="NR20" s="38"/>
      <c r="NS20" s="38"/>
    </row>
    <row r="21" spans="1:389" x14ac:dyDescent="0.35">
      <c r="A21" s="52"/>
      <c r="B21" s="30" t="s">
        <v>74</v>
      </c>
      <c r="C21" s="37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37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3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15" cm="1">
        <f t="array" aca="1" ref="NK21" ca="1">SUMPRODUCT((OFFSET($B21,0,31*($B$5-1)+1,1,31)&lt;&gt;"")*(IF(OFFSET($B21,0,31*($B$5-1)+1,1,31)=$NY$12,0.5,IF(OFFSET($B21,0,31*($B$5-1)+1,1,31)=$NY$13,0.5,1))*(OFFSET($B$6,0,31*($B$5-1)+1,1,31))))</f>
        <v>0</v>
      </c>
      <c r="NL21" s="19" cm="1">
        <f t="array" aca="1" ref="NL21" ca="1">SUMPRODUCT((OFFSET($B21,0,1,1,372)&lt;&gt;"")*(IF(OFFSET($B21,0,1,1,372)=$NY$12,0.5,IF(OFFSET($B21,0,1,1,372)=$NY$13,0.5,1))*(OFFSET($B$5,0,1,1,372))))</f>
        <v>0</v>
      </c>
      <c r="NM21" s="38"/>
      <c r="NN21" s="38"/>
      <c r="NO21" s="38"/>
      <c r="NP21" s="38"/>
      <c r="NQ21" s="38"/>
      <c r="NR21" s="38"/>
      <c r="NS21" s="38"/>
    </row>
    <row r="22" spans="1:389" x14ac:dyDescent="0.35">
      <c r="A22" s="52"/>
      <c r="B22" s="62" t="s">
        <v>63</v>
      </c>
      <c r="C22" s="3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74" t="s">
        <v>51</v>
      </c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3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15" cm="1">
        <f t="array" aca="1" ref="NK22" ca="1">SUMPRODUCT((OFFSET($B22,0,31*($B$5-1)+1,1,31)&lt;&gt;"")*(IF(OFFSET($B22,0,31*($B$5-1)+1,1,31)=$NY$12,0.5,IF(OFFSET($B22,0,31*($B$5-1)+1,1,31)=$NY$13,0.5,1))*(OFFSET($B$6,0,31*($B$5-1)+1,1,31))))</f>
        <v>0</v>
      </c>
      <c r="NL22" s="19" cm="1">
        <f t="array" aca="1" ref="NL22" ca="1">SUMPRODUCT((OFFSET($B22,0,1,1,372)&lt;&gt;"")*(IF(OFFSET($B22,0,1,1,372)=$NY$12,0.5,IF(OFFSET($B22,0,1,1,372)=$NY$13,0.5,1))*(OFFSET($B$5,0,1,1,372))))</f>
        <v>1</v>
      </c>
      <c r="NM22" s="38"/>
      <c r="NN22" s="38"/>
      <c r="NO22" s="38"/>
      <c r="NP22" s="38"/>
      <c r="NQ22" s="38"/>
      <c r="NR22" s="38"/>
      <c r="NS22" s="38"/>
    </row>
    <row r="23" spans="1:389" x14ac:dyDescent="0.35">
      <c r="A23" s="52"/>
      <c r="B23" s="30" t="s">
        <v>74</v>
      </c>
      <c r="C23" s="37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37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32"/>
      <c r="DY23" s="3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15" cm="1">
        <f t="array" aca="1" ref="NK23" ca="1">SUMPRODUCT((OFFSET($B23,0,31*($B$5-1)+1,1,31)&lt;&gt;"")*(IF(OFFSET($B23,0,31*($B$5-1)+1,1,31)=$NY$12,0.5,IF(OFFSET($B23,0,31*($B$5-1)+1,1,31)=$NY$13,0.5,1))*(OFFSET($B$6,0,31*($B$5-1)+1,1,31))))</f>
        <v>0</v>
      </c>
      <c r="NL23" s="19" cm="1">
        <f t="array" aca="1" ref="NL23" ca="1">SUMPRODUCT((OFFSET($B23,0,1,1,372)&lt;&gt;"")*(IF(OFFSET($B23,0,1,1,372)=$NY$12,0.5,IF(OFFSET($B23,0,1,1,372)=$NY$13,0.5,1))*(OFFSET($B$5,0,1,1,372))))</f>
        <v>0</v>
      </c>
      <c r="NM23" s="38">
        <f t="shared" ca="1" si="7"/>
        <v>0</v>
      </c>
      <c r="NN23" s="38">
        <f t="shared" ca="1" si="7"/>
        <v>0</v>
      </c>
      <c r="NO23" s="38">
        <f t="shared" ca="1" si="7"/>
        <v>0</v>
      </c>
      <c r="NP23" s="38">
        <f t="shared" ca="1" si="7"/>
        <v>0</v>
      </c>
      <c r="NQ23" s="38">
        <f t="shared" ca="1" si="7"/>
        <v>0</v>
      </c>
      <c r="NR23" s="38">
        <f t="shared" ca="1" si="7"/>
        <v>0</v>
      </c>
      <c r="NS23" s="38">
        <f t="shared" ca="1" si="7"/>
        <v>0</v>
      </c>
    </row>
    <row r="24" spans="1:389" x14ac:dyDescent="0.35">
      <c r="A24" s="52"/>
      <c r="B24" s="63" t="s">
        <v>64</v>
      </c>
      <c r="C24" s="37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37"/>
      <c r="AH24" s="37"/>
      <c r="AI24" s="37"/>
      <c r="AJ24" s="2"/>
      <c r="AK24" s="2"/>
      <c r="AL24" s="37"/>
      <c r="AM24" s="37"/>
      <c r="AN24" s="37"/>
      <c r="AO24" s="37"/>
      <c r="AP24" s="37"/>
      <c r="AQ24" s="2"/>
      <c r="AR24" s="2"/>
      <c r="AS24" s="37"/>
      <c r="AT24" s="37"/>
      <c r="AU24" s="37"/>
      <c r="AV24" s="37"/>
      <c r="AW24" s="37"/>
      <c r="AX24" s="2"/>
      <c r="AY24" s="2"/>
      <c r="AZ24" s="2"/>
      <c r="BA24" s="37"/>
      <c r="BB24" s="37"/>
      <c r="BC24" s="37"/>
      <c r="BD24" s="37"/>
      <c r="BE24" s="2"/>
      <c r="BF24" s="2"/>
      <c r="BG24" s="37"/>
      <c r="BH24" s="37"/>
      <c r="BI24" s="49"/>
      <c r="BJ24" s="49"/>
      <c r="BK24" s="49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15" cm="1">
        <f t="array" aca="1" ref="NK24" ca="1">SUMPRODUCT((OFFSET($B24,0,31*($B$5-1)+1,1,31)&lt;&gt;"")*(IF(OFFSET($B24,0,31*($B$5-1)+1,1,31)=$NY$12,0.5,IF(OFFSET($B24,0,31*($B$5-1)+1,1,31)=$NY$13,0.5,1))*(OFFSET($B$6,0,31*($B$5-1)+1,1,31))))</f>
        <v>0</v>
      </c>
      <c r="NL24" s="19" cm="1">
        <f t="array" aca="1" ref="NL24" ca="1">SUMPRODUCT((OFFSET($B24,0,1,1,372)&lt;&gt;"")*(IF(OFFSET($B24,0,1,1,372)=$NY$12,0.5,IF(OFFSET($B24,0,1,1,372)=$NY$13,0.5,1))*(OFFSET($B$5,0,1,1,372))))</f>
        <v>0</v>
      </c>
      <c r="NM24" s="38">
        <f t="shared" ca="1" si="7"/>
        <v>0</v>
      </c>
      <c r="NN24" s="38">
        <f t="shared" ca="1" si="7"/>
        <v>0</v>
      </c>
      <c r="NO24" s="38">
        <f t="shared" ca="1" si="7"/>
        <v>0</v>
      </c>
      <c r="NP24" s="38">
        <f t="shared" ca="1" si="7"/>
        <v>0</v>
      </c>
      <c r="NQ24" s="38">
        <f t="shared" ca="1" si="7"/>
        <v>0</v>
      </c>
      <c r="NR24" s="38">
        <f t="shared" ca="1" si="7"/>
        <v>0</v>
      </c>
      <c r="NS24" s="38">
        <f t="shared" ca="1" si="7"/>
        <v>0</v>
      </c>
    </row>
    <row r="25" spans="1:389" x14ac:dyDescent="0.35">
      <c r="A25" s="52"/>
      <c r="B25" s="53" t="s">
        <v>76</v>
      </c>
      <c r="C25" s="37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37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15" cm="1">
        <f t="array" aca="1" ref="NK25" ca="1">SUMPRODUCT((OFFSET($B25,0,31*($B$5-1)+1,1,31)&lt;&gt;"")*(IF(OFFSET($B25,0,31*($B$5-1)+1,1,31)=$NY$12,0.5,IF(OFFSET($B25,0,31*($B$5-1)+1,1,31)=$NY$13,0.5,1))*(OFFSET($B$6,0,31*($B$5-1)+1,1,31))))</f>
        <v>0</v>
      </c>
      <c r="NL25" s="19" cm="1">
        <f t="array" aca="1" ref="NL25" ca="1">SUMPRODUCT((OFFSET($B25,0,1,1,372)&lt;&gt;"")*(IF(OFFSET($B25,0,1,1,372)=$NY$12,0.5,IF(OFFSET($B25,0,1,1,372)=$NY$13,0.5,1))*(OFFSET($B$5,0,1,1,372))))</f>
        <v>0</v>
      </c>
      <c r="NM25" s="38">
        <f t="shared" ca="1" si="7"/>
        <v>0</v>
      </c>
      <c r="NN25" s="38">
        <f t="shared" ca="1" si="7"/>
        <v>0</v>
      </c>
      <c r="NO25" s="38">
        <f t="shared" ca="1" si="7"/>
        <v>0</v>
      </c>
      <c r="NP25" s="38">
        <f t="shared" ca="1" si="7"/>
        <v>0</v>
      </c>
      <c r="NQ25" s="38">
        <f t="shared" ca="1" si="7"/>
        <v>0</v>
      </c>
      <c r="NR25" s="38">
        <f t="shared" ca="1" si="7"/>
        <v>0</v>
      </c>
      <c r="NS25" s="38">
        <f t="shared" ca="1" si="7"/>
        <v>0</v>
      </c>
    </row>
    <row r="26" spans="1:389" x14ac:dyDescent="0.35">
      <c r="A26" s="52"/>
      <c r="B26" s="30" t="s">
        <v>74</v>
      </c>
      <c r="C26" s="37"/>
      <c r="D26" s="37"/>
      <c r="E26" s="37"/>
      <c r="F26" s="37"/>
      <c r="G26" s="37"/>
      <c r="H26" s="2"/>
      <c r="I26" s="2"/>
      <c r="J26" s="37"/>
      <c r="K26" s="37"/>
      <c r="L26" s="37"/>
      <c r="M26" s="37"/>
      <c r="N26" s="37"/>
      <c r="O26" s="2"/>
      <c r="P26" s="2"/>
      <c r="Q26" s="37"/>
      <c r="R26" s="37"/>
      <c r="S26" s="37"/>
      <c r="T26" s="37"/>
      <c r="U26" s="37"/>
      <c r="V26" s="2"/>
      <c r="W26" s="2"/>
      <c r="X26" s="37"/>
      <c r="Y26" s="37"/>
      <c r="Z26" s="37"/>
      <c r="AA26" s="37"/>
      <c r="AB26" s="37"/>
      <c r="AC26" s="2"/>
      <c r="AD26" s="2"/>
      <c r="AE26" s="37"/>
      <c r="AF26" s="37"/>
      <c r="AG26" s="37"/>
      <c r="AH26" s="37"/>
      <c r="AI26" s="37"/>
      <c r="AJ26" s="2"/>
      <c r="AK26" s="2"/>
      <c r="AL26" s="37"/>
      <c r="AM26" s="37"/>
      <c r="AN26" s="37"/>
      <c r="AO26" s="37"/>
      <c r="AP26" s="37"/>
      <c r="AQ26" s="2"/>
      <c r="AR26" s="2"/>
      <c r="AS26" s="37"/>
      <c r="AT26" s="37"/>
      <c r="AU26" s="37"/>
      <c r="AV26" s="37"/>
      <c r="AW26" s="37"/>
      <c r="AX26" s="2"/>
      <c r="AY26" s="2"/>
      <c r="AZ26" s="2"/>
      <c r="BA26" s="37"/>
      <c r="BB26" s="37"/>
      <c r="BC26" s="37"/>
      <c r="BD26" s="37"/>
      <c r="BE26" s="2"/>
      <c r="BF26" s="2"/>
      <c r="BG26" s="37"/>
      <c r="BH26" s="37"/>
      <c r="BI26" s="37"/>
      <c r="BJ26" s="37"/>
      <c r="BK26" s="37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15" cm="1">
        <f t="array" aca="1" ref="NK26" ca="1">SUMPRODUCT((OFFSET($B26,0,31*($B$5-1)+1,1,31)&lt;&gt;"")*(IF(OFFSET($B26,0,31*($B$5-1)+1,1,31)=$NY$12,0.5,IF(OFFSET($B26,0,31*($B$5-1)+1,1,31)=$NY$13,0.5,1))*(OFFSET($B$6,0,31*($B$5-1)+1,1,31))))</f>
        <v>0</v>
      </c>
      <c r="NL26" s="19" cm="1">
        <f t="array" aca="1" ref="NL26" ca="1">SUMPRODUCT((OFFSET($B26,0,1,1,372)&lt;&gt;"")*(IF(OFFSET($B26,0,1,1,372)=$NY$12,0.5,IF(OFFSET($B26,0,1,1,372)=$NY$13,0.5,1))*(OFFSET($B$5,0,1,1,372))))</f>
        <v>0</v>
      </c>
      <c r="NM26" s="38">
        <f t="shared" ca="1" si="7"/>
        <v>0</v>
      </c>
      <c r="NN26" s="38">
        <f t="shared" ca="1" si="7"/>
        <v>0</v>
      </c>
      <c r="NO26" s="38">
        <f t="shared" ca="1" si="7"/>
        <v>0</v>
      </c>
      <c r="NP26" s="38">
        <f t="shared" ca="1" si="7"/>
        <v>0</v>
      </c>
      <c r="NQ26" s="38">
        <f t="shared" ca="1" si="7"/>
        <v>0</v>
      </c>
      <c r="NR26" s="38">
        <f t="shared" ca="1" si="7"/>
        <v>0</v>
      </c>
      <c r="NS26" s="38">
        <f t="shared" ca="1" si="7"/>
        <v>0</v>
      </c>
    </row>
    <row r="27" spans="1:389" x14ac:dyDescent="0.35">
      <c r="A27" s="52"/>
      <c r="B27" s="30" t="s">
        <v>74</v>
      </c>
      <c r="C27" s="2"/>
      <c r="D27" s="2"/>
      <c r="E27" s="36"/>
      <c r="F27" s="36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15" cm="1">
        <f t="array" aca="1" ref="NK27" ca="1">SUMPRODUCT((OFFSET($B27,0,31*($B$5-1)+1,1,31)&lt;&gt;"")*(IF(OFFSET($B27,0,31*($B$5-1)+1,1,31)=$NY$12,0.5,IF(OFFSET($B27,0,31*($B$5-1)+1,1,31)=$NY$13,0.5,1))*(OFFSET($B$6,0,31*($B$5-1)+1,1,31))))</f>
        <v>0</v>
      </c>
      <c r="NL27" s="19" cm="1">
        <f t="array" aca="1" ref="NL27" ca="1">SUMPRODUCT((OFFSET($B27,0,1,1,372)&lt;&gt;"")*(IF(OFFSET($B27,0,1,1,372)=$NY$12,0.5,IF(OFFSET($B27,0,1,1,372)=$NY$13,0.5,1))*(OFFSET($B$5,0,1,1,372))))</f>
        <v>0</v>
      </c>
      <c r="NM27" s="38">
        <f t="shared" ca="1" si="7"/>
        <v>0</v>
      </c>
      <c r="NN27" s="38">
        <f t="shared" ca="1" si="7"/>
        <v>0</v>
      </c>
      <c r="NO27" s="38">
        <f t="shared" ca="1" si="7"/>
        <v>0</v>
      </c>
      <c r="NP27" s="38">
        <f t="shared" ca="1" si="7"/>
        <v>0</v>
      </c>
      <c r="NQ27" s="38">
        <f t="shared" ca="1" si="7"/>
        <v>0</v>
      </c>
      <c r="NR27" s="38">
        <f t="shared" ca="1" si="7"/>
        <v>0</v>
      </c>
      <c r="NS27" s="38">
        <f t="shared" ca="1" si="7"/>
        <v>0</v>
      </c>
      <c r="NX27" s="18" t="s">
        <v>29</v>
      </c>
      <c r="NY27" s="18"/>
    </row>
    <row r="28" spans="1:389" x14ac:dyDescent="0.35">
      <c r="A28" s="52"/>
      <c r="B28" s="30" t="s">
        <v>74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15" cm="1">
        <f t="array" aca="1" ref="NK28" ca="1">SUMPRODUCT((OFFSET($B28,0,31*($B$5-1)+1,1,31)&lt;&gt;"")*(IF(OFFSET($B28,0,31*($B$5-1)+1,1,31)=$NY$12,0.5,IF(OFFSET($B28,0,31*($B$5-1)+1,1,31)=$NY$13,0.5,1))*(OFFSET($B$6,0,31*($B$5-1)+1,1,31))))</f>
        <v>0</v>
      </c>
      <c r="NL28" s="19" cm="1">
        <f t="array" aca="1" ref="NL28" ca="1">SUMPRODUCT((OFFSET($B28,0,1,1,372)&lt;&gt;"")*(IF(OFFSET($B28,0,1,1,372)=$NY$12,0.5,IF(OFFSET($B28,0,1,1,372)=$NY$13,0.5,1))*(OFFSET($B$5,0,1,1,372))))</f>
        <v>0</v>
      </c>
      <c r="NM28" s="38">
        <f t="shared" ca="1" si="7"/>
        <v>0</v>
      </c>
      <c r="NN28" s="38">
        <f t="shared" ca="1" si="7"/>
        <v>0</v>
      </c>
      <c r="NO28" s="38">
        <f t="shared" ca="1" si="7"/>
        <v>0</v>
      </c>
      <c r="NP28" s="38">
        <f t="shared" ca="1" si="7"/>
        <v>0</v>
      </c>
      <c r="NQ28" s="38">
        <f t="shared" ca="1" si="7"/>
        <v>0</v>
      </c>
      <c r="NR28" s="38">
        <f t="shared" ca="1" si="7"/>
        <v>0</v>
      </c>
      <c r="NS28" s="38">
        <f t="shared" ca="1" si="7"/>
        <v>0</v>
      </c>
      <c r="NX28" s="17" t="s">
        <v>11</v>
      </c>
      <c r="NY28" s="17" t="s">
        <v>31</v>
      </c>
    </row>
    <row r="29" spans="1:389" x14ac:dyDescent="0.35">
      <c r="A29" s="52"/>
      <c r="B29" s="30" t="s">
        <v>74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15" cm="1">
        <f t="array" aca="1" ref="NK29" ca="1">SUMPRODUCT((OFFSET($B29,0,31*($B$5-1)+1,1,31)&lt;&gt;"")*(IF(OFFSET($B29,0,31*($B$5-1)+1,1,31)=$NY$12,0.5,IF(OFFSET($B29,0,31*($B$5-1)+1,1,31)=$NY$13,0.5,1))*(OFFSET($B$6,0,31*($B$5-1)+1,1,31))))</f>
        <v>0</v>
      </c>
      <c r="NL29" s="19" cm="1">
        <f t="array" aca="1" ref="NL29" ca="1">SUMPRODUCT((OFFSET($B29,0,1,1,372)&lt;&gt;"")*(IF(OFFSET($B29,0,1,1,372)=$NY$12,0.5,IF(OFFSET($B29,0,1,1,372)=$NY$13,0.5,1))*(OFFSET($B$5,0,1,1,372))))</f>
        <v>0</v>
      </c>
      <c r="NM29" s="38">
        <f t="shared" ref="NM29:NS45" ca="1" si="8">SUMPRODUCT((OFFSET($B29,0,1,1,372)&lt;&gt;"")*(OFFSET($B$5,0,1,1,372))*((OFFSET($B29,0,1,1,372))=NM$7))</f>
        <v>0</v>
      </c>
      <c r="NN29" s="38">
        <f t="shared" ca="1" si="8"/>
        <v>0</v>
      </c>
      <c r="NO29" s="38">
        <f t="shared" ca="1" si="8"/>
        <v>0</v>
      </c>
      <c r="NP29" s="38">
        <f t="shared" ca="1" si="8"/>
        <v>0</v>
      </c>
      <c r="NQ29" s="38">
        <f t="shared" ca="1" si="8"/>
        <v>0</v>
      </c>
      <c r="NR29" s="38">
        <f t="shared" ca="1" si="8"/>
        <v>0</v>
      </c>
      <c r="NS29" s="38">
        <f t="shared" ca="1" si="8"/>
        <v>0</v>
      </c>
      <c r="NX29" s="17" t="s">
        <v>12</v>
      </c>
      <c r="NY29" s="17" t="s">
        <v>31</v>
      </c>
    </row>
    <row r="30" spans="1:389" x14ac:dyDescent="0.35">
      <c r="A30" s="52"/>
      <c r="B30" s="30" t="s">
        <v>74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15" cm="1">
        <f t="array" aca="1" ref="NK30" ca="1">SUMPRODUCT((OFFSET($B30,0,31*($B$5-1)+1,1,31)&lt;&gt;"")*(IF(OFFSET($B30,0,31*($B$5-1)+1,1,31)=$NY$12,0.5,IF(OFFSET($B30,0,31*($B$5-1)+1,1,31)=$NY$13,0.5,1))*(OFFSET($B$6,0,31*($B$5-1)+1,1,31))))</f>
        <v>0</v>
      </c>
      <c r="NL30" s="19" cm="1">
        <f t="array" aca="1" ref="NL30" ca="1">SUMPRODUCT((OFFSET($B30,0,1,1,372)&lt;&gt;"")*(IF(OFFSET($B30,0,1,1,372)=$NY$12,0.5,IF(OFFSET($B30,0,1,1,372)=$NY$13,0.5,1))*(OFFSET($B$5,0,1,1,372))))</f>
        <v>0</v>
      </c>
      <c r="NM30" s="38">
        <f t="shared" ca="1" si="8"/>
        <v>0</v>
      </c>
      <c r="NN30" s="38">
        <f t="shared" ca="1" si="8"/>
        <v>0</v>
      </c>
      <c r="NO30" s="38">
        <f t="shared" ca="1" si="8"/>
        <v>0</v>
      </c>
      <c r="NP30" s="38">
        <f t="shared" ca="1" si="8"/>
        <v>0</v>
      </c>
      <c r="NQ30" s="38">
        <f t="shared" ca="1" si="8"/>
        <v>0</v>
      </c>
      <c r="NR30" s="38">
        <f t="shared" ca="1" si="8"/>
        <v>0</v>
      </c>
      <c r="NS30" s="38">
        <f t="shared" ca="1" si="8"/>
        <v>0</v>
      </c>
      <c r="NX30" s="17" t="s">
        <v>13</v>
      </c>
      <c r="NY30" s="17" t="s">
        <v>31</v>
      </c>
    </row>
    <row r="31" spans="1:389" x14ac:dyDescent="0.35">
      <c r="A31" s="52"/>
      <c r="B31" s="30" t="s">
        <v>74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15" cm="1">
        <f t="array" aca="1" ref="NK31" ca="1">SUMPRODUCT((OFFSET($B31,0,31*($B$5-1)+1,1,31)&lt;&gt;"")*(IF(OFFSET($B31,0,31*($B$5-1)+1,1,31)=$NY$12,0.5,IF(OFFSET($B31,0,31*($B$5-1)+1,1,31)=$NY$13,0.5,1))*(OFFSET($B$6,0,31*($B$5-1)+1,1,31))))</f>
        <v>0</v>
      </c>
      <c r="NL31" s="19" cm="1">
        <f t="array" aca="1" ref="NL31" ca="1">SUMPRODUCT((OFFSET($B31,0,1,1,372)&lt;&gt;"")*(IF(OFFSET($B31,0,1,1,372)=$NY$12,0.5,IF(OFFSET($B31,0,1,1,372)=$NY$13,0.5,1))*(OFFSET($B$5,0,1,1,372))))</f>
        <v>0</v>
      </c>
      <c r="NM31" s="38">
        <f t="shared" ca="1" si="8"/>
        <v>0</v>
      </c>
      <c r="NN31" s="38">
        <f t="shared" ca="1" si="8"/>
        <v>0</v>
      </c>
      <c r="NO31" s="38">
        <f t="shared" ca="1" si="8"/>
        <v>0</v>
      </c>
      <c r="NP31" s="38">
        <f t="shared" ca="1" si="8"/>
        <v>0</v>
      </c>
      <c r="NQ31" s="38">
        <f t="shared" ca="1" si="8"/>
        <v>0</v>
      </c>
      <c r="NR31" s="38">
        <f t="shared" ca="1" si="8"/>
        <v>0</v>
      </c>
      <c r="NS31" s="38">
        <f t="shared" ca="1" si="8"/>
        <v>0</v>
      </c>
      <c r="NX31" s="17" t="s">
        <v>14</v>
      </c>
      <c r="NY31" s="17" t="s">
        <v>31</v>
      </c>
    </row>
    <row r="32" spans="1:389" x14ac:dyDescent="0.35">
      <c r="A32" s="52"/>
      <c r="B32" s="30" t="s">
        <v>74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15" cm="1">
        <f t="array" aca="1" ref="NK32" ca="1">SUMPRODUCT((OFFSET($B32,0,31*($B$5-1)+1,1,31)&lt;&gt;"")*(IF(OFFSET($B32,0,31*($B$5-1)+1,1,31)=$NY$12,0.5,IF(OFFSET($B32,0,31*($B$5-1)+1,1,31)=$NY$13,0.5,1))*(OFFSET($B$6,0,31*($B$5-1)+1,1,31))))</f>
        <v>0</v>
      </c>
      <c r="NL32" s="19" cm="1">
        <f t="array" aca="1" ref="NL32" ca="1">SUMPRODUCT((OFFSET($B32,0,1,1,372)&lt;&gt;"")*(IF(OFFSET($B32,0,1,1,372)=$NY$12,0.5,IF(OFFSET($B32,0,1,1,372)=$NY$13,0.5,1))*(OFFSET($B$5,0,1,1,372))))</f>
        <v>0</v>
      </c>
      <c r="NM32" s="38">
        <f t="shared" ca="1" si="8"/>
        <v>0</v>
      </c>
      <c r="NN32" s="38">
        <f t="shared" ca="1" si="8"/>
        <v>0</v>
      </c>
      <c r="NO32" s="38">
        <f t="shared" ca="1" si="8"/>
        <v>0</v>
      </c>
      <c r="NP32" s="38">
        <f t="shared" ca="1" si="8"/>
        <v>0</v>
      </c>
      <c r="NQ32" s="38">
        <f t="shared" ca="1" si="8"/>
        <v>0</v>
      </c>
      <c r="NR32" s="38">
        <f t="shared" ca="1" si="8"/>
        <v>0</v>
      </c>
      <c r="NS32" s="38">
        <f t="shared" ca="1" si="8"/>
        <v>0</v>
      </c>
      <c r="NX32" s="17" t="s">
        <v>15</v>
      </c>
      <c r="NY32" s="17" t="s">
        <v>31</v>
      </c>
    </row>
    <row r="33" spans="1:389" x14ac:dyDescent="0.35">
      <c r="A33" s="52"/>
      <c r="B33" s="30" t="s">
        <v>74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15" cm="1">
        <f t="array" aca="1" ref="NK33" ca="1">SUMPRODUCT((OFFSET($B33,0,31*($B$5-1)+1,1,31)&lt;&gt;"")*(IF(OFFSET($B33,0,31*($B$5-1)+1,1,31)=$NY$12,0.5,IF(OFFSET($B33,0,31*($B$5-1)+1,1,31)=$NY$13,0.5,1))*(OFFSET($B$6,0,31*($B$5-1)+1,1,31))))</f>
        <v>0</v>
      </c>
      <c r="NL33" s="19" cm="1">
        <f t="array" aca="1" ref="NL33" ca="1">SUMPRODUCT((OFFSET($B33,0,1,1,372)&lt;&gt;"")*(IF(OFFSET($B33,0,1,1,372)=$NY$12,0.5,IF(OFFSET($B33,0,1,1,372)=$NY$13,0.5,1))*(OFFSET($B$5,0,1,1,372))))</f>
        <v>0</v>
      </c>
      <c r="NM33" s="38"/>
      <c r="NN33" s="38"/>
      <c r="NO33" s="38"/>
      <c r="NP33" s="38"/>
      <c r="NQ33" s="38"/>
      <c r="NR33" s="38"/>
      <c r="NS33" s="38"/>
      <c r="NX33" s="17"/>
      <c r="NY33" s="17"/>
    </row>
    <row r="34" spans="1:389" x14ac:dyDescent="0.35">
      <c r="A34" s="52"/>
      <c r="B34" s="30" t="s">
        <v>74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15" cm="1">
        <f t="array" aca="1" ref="NK34" ca="1">SUMPRODUCT((OFFSET($B34,0,31*($B$5-1)+1,1,31)&lt;&gt;"")*(IF(OFFSET($B34,0,31*($B$5-1)+1,1,31)=$NY$12,0.5,IF(OFFSET($B34,0,31*($B$5-1)+1,1,31)=$NY$13,0.5,1))*(OFFSET($B$6,0,31*($B$5-1)+1,1,31))))</f>
        <v>0</v>
      </c>
      <c r="NL34" s="19" cm="1">
        <f t="array" aca="1" ref="NL34" ca="1">SUMPRODUCT((OFFSET($B34,0,1,1,372)&lt;&gt;"")*(IF(OFFSET($B34,0,1,1,372)=$NY$12,0.5,IF(OFFSET($B34,0,1,1,372)=$NY$13,0.5,1))*(OFFSET($B$5,0,1,1,372))))</f>
        <v>0</v>
      </c>
      <c r="NM34" s="38"/>
      <c r="NN34" s="38"/>
      <c r="NO34" s="38"/>
      <c r="NP34" s="38"/>
      <c r="NQ34" s="38"/>
      <c r="NR34" s="38"/>
      <c r="NS34" s="38"/>
      <c r="NX34" s="17"/>
      <c r="NY34" s="17"/>
    </row>
    <row r="35" spans="1:389" x14ac:dyDescent="0.35">
      <c r="A35" s="52"/>
      <c r="B35" s="30" t="s">
        <v>74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15" cm="1">
        <f t="array" aca="1" ref="NK35" ca="1">SUMPRODUCT((OFFSET($B35,0,31*($B$5-1)+1,1,31)&lt;&gt;"")*(IF(OFFSET($B35,0,31*($B$5-1)+1,1,31)=$NY$12,0.5,IF(OFFSET($B35,0,31*($B$5-1)+1,1,31)=$NY$13,0.5,1))*(OFFSET($B$6,0,31*($B$5-1)+1,1,31))))</f>
        <v>0</v>
      </c>
      <c r="NL35" s="19" cm="1">
        <f t="array" aca="1" ref="NL35" ca="1">SUMPRODUCT((OFFSET($B35,0,1,1,372)&lt;&gt;"")*(IF(OFFSET($B35,0,1,1,372)=$NY$12,0.5,IF(OFFSET($B35,0,1,1,372)=$NY$13,0.5,1))*(OFFSET($B$5,0,1,1,372))))</f>
        <v>0</v>
      </c>
      <c r="NM35" s="38"/>
      <c r="NN35" s="38"/>
      <c r="NO35" s="38"/>
      <c r="NP35" s="38"/>
      <c r="NQ35" s="38"/>
      <c r="NR35" s="38"/>
      <c r="NS35" s="38"/>
      <c r="NX35" s="17"/>
      <c r="NY35" s="17"/>
    </row>
    <row r="36" spans="1:389" x14ac:dyDescent="0.35">
      <c r="A36" s="52"/>
      <c r="B36" s="30" t="s">
        <v>74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15" cm="1">
        <f t="array" aca="1" ref="NK36" ca="1">SUMPRODUCT((OFFSET($B36,0,31*($B$5-1)+1,1,31)&lt;&gt;"")*(IF(OFFSET($B36,0,31*($B$5-1)+1,1,31)=$NY$12,0.5,IF(OFFSET($B36,0,31*($B$5-1)+1,1,31)=$NY$13,0.5,1))*(OFFSET($B$6,0,31*($B$5-1)+1,1,31))))</f>
        <v>0</v>
      </c>
      <c r="NL36" s="19" cm="1">
        <f t="array" aca="1" ref="NL36" ca="1">SUMPRODUCT((OFFSET($B36,0,1,1,372)&lt;&gt;"")*(IF(OFFSET($B36,0,1,1,372)=$NY$12,0.5,IF(OFFSET($B36,0,1,1,372)=$NY$13,0.5,1))*(OFFSET($B$5,0,1,1,372))))</f>
        <v>0</v>
      </c>
      <c r="NM36" s="38"/>
      <c r="NN36" s="38"/>
      <c r="NO36" s="38"/>
      <c r="NP36" s="38"/>
      <c r="NQ36" s="38"/>
      <c r="NR36" s="38"/>
      <c r="NS36" s="38"/>
      <c r="NX36" s="17"/>
      <c r="NY36" s="17"/>
    </row>
    <row r="37" spans="1:389" x14ac:dyDescent="0.35">
      <c r="A37" s="52"/>
      <c r="B37" s="30" t="s">
        <v>74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15" cm="1">
        <f t="array" aca="1" ref="NK37" ca="1">SUMPRODUCT((OFFSET($B37,0,31*($B$5-1)+1,1,31)&lt;&gt;"")*(IF(OFFSET($B37,0,31*($B$5-1)+1,1,31)=$NY$12,0.5,IF(OFFSET($B37,0,31*($B$5-1)+1,1,31)=$NY$13,0.5,1))*(OFFSET($B$6,0,31*($B$5-1)+1,1,31))))</f>
        <v>0</v>
      </c>
      <c r="NL37" s="19" cm="1">
        <f t="array" aca="1" ref="NL37" ca="1">SUMPRODUCT((OFFSET($B37,0,1,1,372)&lt;&gt;"")*(IF(OFFSET($B37,0,1,1,372)=$NY$12,0.5,IF(OFFSET($B37,0,1,1,372)=$NY$13,0.5,1))*(OFFSET($B$5,0,1,1,372))))</f>
        <v>0</v>
      </c>
      <c r="NM37" s="38"/>
      <c r="NN37" s="38"/>
      <c r="NO37" s="38"/>
      <c r="NP37" s="38"/>
      <c r="NQ37" s="38"/>
      <c r="NR37" s="38"/>
      <c r="NS37" s="38"/>
      <c r="NX37" s="17"/>
      <c r="NY37" s="17"/>
    </row>
    <row r="38" spans="1:389" x14ac:dyDescent="0.35">
      <c r="A38" s="52"/>
      <c r="B38" s="30" t="s">
        <v>74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15" cm="1">
        <f t="array" aca="1" ref="NK38" ca="1">SUMPRODUCT((OFFSET($B38,0,31*($B$5-1)+1,1,31)&lt;&gt;"")*(IF(OFFSET($B38,0,31*($B$5-1)+1,1,31)=$NY$12,0.5,IF(OFFSET($B38,0,31*($B$5-1)+1,1,31)=$NY$13,0.5,1))*(OFFSET($B$6,0,31*($B$5-1)+1,1,31))))</f>
        <v>0</v>
      </c>
      <c r="NL38" s="19" cm="1">
        <f t="array" aca="1" ref="NL38" ca="1">SUMPRODUCT((OFFSET($B38,0,1,1,372)&lt;&gt;"")*(IF(OFFSET($B38,0,1,1,372)=$NY$12,0.5,IF(OFFSET($B38,0,1,1,372)=$NY$13,0.5,1))*(OFFSET($B$5,0,1,1,372))))</f>
        <v>0</v>
      </c>
      <c r="NM38" s="38">
        <f t="shared" ca="1" si="8"/>
        <v>0</v>
      </c>
      <c r="NN38" s="38">
        <f t="shared" ca="1" si="8"/>
        <v>0</v>
      </c>
      <c r="NO38" s="38">
        <f t="shared" ca="1" si="8"/>
        <v>0</v>
      </c>
      <c r="NP38" s="38">
        <f t="shared" ca="1" si="8"/>
        <v>0</v>
      </c>
      <c r="NQ38" s="38">
        <f t="shared" ca="1" si="8"/>
        <v>0</v>
      </c>
      <c r="NR38" s="38">
        <f t="shared" ca="1" si="8"/>
        <v>0</v>
      </c>
      <c r="NS38" s="38">
        <f t="shared" ca="1" si="8"/>
        <v>0</v>
      </c>
      <c r="NX38" s="17" t="s">
        <v>16</v>
      </c>
      <c r="NY38" s="17" t="s">
        <v>30</v>
      </c>
    </row>
    <row r="39" spans="1:389" x14ac:dyDescent="0.35">
      <c r="A39" s="52"/>
      <c r="B39" s="63" t="s">
        <v>75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37"/>
      <c r="AH39" s="37"/>
      <c r="AI39" s="37"/>
      <c r="AJ39" s="2"/>
      <c r="AK39" s="2"/>
      <c r="AL39" s="37"/>
      <c r="AM39" s="37"/>
      <c r="AN39" s="37"/>
      <c r="AO39" s="37"/>
      <c r="AP39" s="37"/>
      <c r="AQ39" s="2"/>
      <c r="AR39" s="2"/>
      <c r="AS39" s="37"/>
      <c r="AT39" s="37"/>
      <c r="AU39" s="37"/>
      <c r="AV39" s="37"/>
      <c r="AW39" s="37"/>
      <c r="AX39" s="2"/>
      <c r="AY39" s="2"/>
      <c r="AZ39" s="2"/>
      <c r="BA39" s="37"/>
      <c r="BB39" s="37"/>
      <c r="BC39" s="37"/>
      <c r="BD39" s="37"/>
      <c r="BE39" s="2"/>
      <c r="BF39" s="2"/>
      <c r="BG39" s="37"/>
      <c r="BH39" s="37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15" cm="1">
        <f t="array" aca="1" ref="NK39" ca="1">SUMPRODUCT((OFFSET($B39,0,31*($B$5-1)+1,1,31)&lt;&gt;"")*(IF(OFFSET($B39,0,31*($B$5-1)+1,1,31)=$NY$12,0.5,IF(OFFSET($B39,0,31*($B$5-1)+1,1,31)=$NY$13,0.5,1))*(OFFSET($B$6,0,31*($B$5-1)+1,1,31))))</f>
        <v>0</v>
      </c>
      <c r="NL39" s="19" cm="1">
        <f t="array" aca="1" ref="NL39" ca="1">SUMPRODUCT((OFFSET($B39,0,1,1,372)&lt;&gt;"")*(IF(OFFSET($B39,0,1,1,372)=$NY$12,0.5,IF(OFFSET($B39,0,1,1,372)=$NY$13,0.5,1))*(OFFSET($B$5,0,1,1,372))))</f>
        <v>0</v>
      </c>
      <c r="NM39" s="38"/>
      <c r="NN39" s="38"/>
      <c r="NO39" s="38"/>
      <c r="NP39" s="38"/>
      <c r="NQ39" s="38"/>
      <c r="NR39" s="38"/>
      <c r="NS39" s="38"/>
      <c r="NX39" s="17"/>
      <c r="NY39" s="17"/>
    </row>
    <row r="40" spans="1:389" x14ac:dyDescent="0.35">
      <c r="A40" s="52"/>
      <c r="B40" s="53" t="s">
        <v>76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15" cm="1">
        <f t="array" aca="1" ref="NK40" ca="1">SUMPRODUCT((OFFSET($B40,0,31*($B$5-1)+1,1,31)&lt;&gt;"")*(IF(OFFSET($B40,0,31*($B$5-1)+1,1,31)=$NY$12,0.5,IF(OFFSET($B40,0,31*($B$5-1)+1,1,31)=$NY$13,0.5,1))*(OFFSET($B$6,0,31*($B$5-1)+1,1,31))))</f>
        <v>0</v>
      </c>
      <c r="NL40" s="19" cm="1">
        <f t="array" aca="1" ref="NL40" ca="1">SUMPRODUCT((OFFSET($B40,0,1,1,372)&lt;&gt;"")*(IF(OFFSET($B40,0,1,1,372)=$NY$12,0.5,IF(OFFSET($B40,0,1,1,372)=$NY$13,0.5,1))*(OFFSET($B$5,0,1,1,372))))</f>
        <v>0</v>
      </c>
      <c r="NM40" s="38"/>
      <c r="NN40" s="38"/>
      <c r="NO40" s="38"/>
      <c r="NP40" s="38"/>
      <c r="NQ40" s="38"/>
      <c r="NR40" s="38"/>
      <c r="NS40" s="38"/>
      <c r="NX40" s="17"/>
      <c r="NY40" s="17"/>
    </row>
    <row r="41" spans="1:389" x14ac:dyDescent="0.35">
      <c r="A41" s="52"/>
      <c r="B41" s="62" t="s">
        <v>62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37"/>
      <c r="AH41" s="37"/>
      <c r="AI41" s="37"/>
      <c r="AJ41" s="2"/>
      <c r="AK41" s="2"/>
      <c r="AL41" s="37"/>
      <c r="AM41" s="37"/>
      <c r="AN41" s="37"/>
      <c r="AO41" s="37"/>
      <c r="AP41" s="37"/>
      <c r="AQ41" s="2"/>
      <c r="AR41" s="2"/>
      <c r="AS41" s="37"/>
      <c r="AT41" s="37"/>
      <c r="AU41" s="37"/>
      <c r="AV41" s="37"/>
      <c r="AW41" s="37"/>
      <c r="AX41" s="2"/>
      <c r="AY41" s="2"/>
      <c r="AZ41" s="2"/>
      <c r="BA41" s="37"/>
      <c r="BB41" s="37"/>
      <c r="BC41" s="37"/>
      <c r="BD41" s="37"/>
      <c r="BE41" s="2"/>
      <c r="BF41" s="2"/>
      <c r="BG41" s="37"/>
      <c r="BH41" s="37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15" cm="1">
        <f t="array" aca="1" ref="NK41" ca="1">SUMPRODUCT((OFFSET($B41,0,31*($B$5-1)+1,1,31)&lt;&gt;"")*(IF(OFFSET($B41,0,31*($B$5-1)+1,1,31)=$NY$12,0.5,IF(OFFSET($B41,0,31*($B$5-1)+1,1,31)=$NY$13,0.5,1))*(OFFSET($B$6,0,31*($B$5-1)+1,1,31))))</f>
        <v>0</v>
      </c>
      <c r="NL41" s="19" cm="1">
        <f t="array" aca="1" ref="NL41" ca="1">SUMPRODUCT((OFFSET($B41,0,1,1,372)&lt;&gt;"")*(IF(OFFSET($B41,0,1,1,372)=$NY$12,0.5,IF(OFFSET($B41,0,1,1,372)=$NY$13,0.5,1))*(OFFSET($B$5,0,1,1,372))))</f>
        <v>0</v>
      </c>
      <c r="NM41" s="38">
        <f t="shared" ca="1" si="8"/>
        <v>0</v>
      </c>
      <c r="NN41" s="38">
        <f t="shared" ca="1" si="8"/>
        <v>0</v>
      </c>
      <c r="NO41" s="38">
        <f t="shared" ca="1" si="8"/>
        <v>0</v>
      </c>
      <c r="NP41" s="38">
        <f t="shared" ca="1" si="8"/>
        <v>0</v>
      </c>
      <c r="NQ41" s="38">
        <f t="shared" ca="1" si="8"/>
        <v>0</v>
      </c>
      <c r="NR41" s="38">
        <f t="shared" ca="1" si="8"/>
        <v>0</v>
      </c>
      <c r="NS41" s="38">
        <f t="shared" ca="1" si="8"/>
        <v>0</v>
      </c>
      <c r="NX41" s="17" t="s">
        <v>17</v>
      </c>
      <c r="NY41" s="17" t="s">
        <v>30</v>
      </c>
    </row>
    <row r="42" spans="1:389" x14ac:dyDescent="0.35">
      <c r="B42" s="30" t="s">
        <v>74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15" cm="1">
        <f t="array" aca="1" ref="NK42" ca="1">SUMPRODUCT((OFFSET($B42,0,31*($B$5-1)+1,1,31)&lt;&gt;"")*(IF(OFFSET($B42,0,31*($B$5-1)+1,1,31)=$NY$12,0.5,IF(OFFSET($B42,0,31*($B$5-1)+1,1,31)=$NY$13,0.5,1))*(OFFSET($B$6,0,31*($B$5-1)+1,1,31))))</f>
        <v>0</v>
      </c>
      <c r="NL42" s="19" cm="1">
        <f t="array" aca="1" ref="NL42" ca="1">SUMPRODUCT((OFFSET($B42,0,1,1,372)&lt;&gt;"")*(IF(OFFSET($B42,0,1,1,372)=$NY$12,0.5,IF(OFFSET($B42,0,1,1,372)=$NY$13,0.5,1))*(OFFSET($B$5,0,1,1,372))))</f>
        <v>0</v>
      </c>
      <c r="NM42" s="38">
        <f t="shared" ca="1" si="8"/>
        <v>0</v>
      </c>
      <c r="NN42" s="38">
        <f t="shared" ca="1" si="8"/>
        <v>0</v>
      </c>
      <c r="NO42" s="38">
        <f t="shared" ca="1" si="8"/>
        <v>0</v>
      </c>
      <c r="NP42" s="38">
        <f t="shared" ca="1" si="8"/>
        <v>0</v>
      </c>
      <c r="NQ42" s="38">
        <f t="shared" ca="1" si="8"/>
        <v>0</v>
      </c>
      <c r="NR42" s="38">
        <f t="shared" ca="1" si="8"/>
        <v>0</v>
      </c>
      <c r="NS42" s="38">
        <f t="shared" ca="1" si="8"/>
        <v>0</v>
      </c>
    </row>
    <row r="43" spans="1:389" x14ac:dyDescent="0.35">
      <c r="B43" s="63" t="s">
        <v>75</v>
      </c>
      <c r="C43" s="36"/>
      <c r="D43" s="36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15" cm="1">
        <f t="array" aca="1" ref="NK43" ca="1">SUMPRODUCT((OFFSET($B43,0,31*($B$5-1)+1,1,31)&lt;&gt;"")*(IF(OFFSET($B43,0,31*($B$5-1)+1,1,31)=$NY$12,0.5,IF(OFFSET($B43,0,31*($B$5-1)+1,1,31)=$NY$13,0.5,1))*(OFFSET($B$6,0,31*($B$5-1)+1,1,31))))</f>
        <v>0</v>
      </c>
      <c r="NL43" s="19" cm="1">
        <f t="array" aca="1" ref="NL43" ca="1">SUMPRODUCT((OFFSET($B43,0,1,1,372)&lt;&gt;"")*(IF(OFFSET($B43,0,1,1,372)=$NY$12,0.5,IF(OFFSET($B43,0,1,1,372)=$NY$13,0.5,1))*(OFFSET($B$5,0,1,1,372))))</f>
        <v>0</v>
      </c>
      <c r="NM43" s="38">
        <f t="shared" ca="1" si="8"/>
        <v>0</v>
      </c>
      <c r="NN43" s="38">
        <f t="shared" ca="1" si="8"/>
        <v>0</v>
      </c>
      <c r="NO43" s="38">
        <f t="shared" ca="1" si="8"/>
        <v>0</v>
      </c>
      <c r="NP43" s="38">
        <f t="shared" ca="1" si="8"/>
        <v>0</v>
      </c>
      <c r="NQ43" s="38">
        <f t="shared" ca="1" si="8"/>
        <v>0</v>
      </c>
      <c r="NR43" s="38">
        <f t="shared" ca="1" si="8"/>
        <v>0</v>
      </c>
      <c r="NS43" s="38">
        <f t="shared" ca="1" si="8"/>
        <v>0</v>
      </c>
    </row>
    <row r="44" spans="1:389" x14ac:dyDescent="0.35">
      <c r="B44" s="53" t="s">
        <v>77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15" cm="1">
        <f t="array" aca="1" ref="NK44" ca="1">SUMPRODUCT((OFFSET($B44,0,31*($B$5-1)+1,1,31)&lt;&gt;"")*(IF(OFFSET($B44,0,31*($B$5-1)+1,1,31)=$NY$12,0.5,IF(OFFSET($B44,0,31*($B$5-1)+1,1,31)=$NY$13,0.5,1))*(OFFSET($B$6,0,31*($B$5-1)+1,1,31))))</f>
        <v>0</v>
      </c>
      <c r="NL44" s="19" cm="1">
        <f t="array" aca="1" ref="NL44" ca="1">SUMPRODUCT((OFFSET($B44,0,1,1,372)&lt;&gt;"")*(IF(OFFSET($B44,0,1,1,372)=$NY$12,0.5,IF(OFFSET($B44,0,1,1,372)=$NY$13,0.5,1))*(OFFSET($B$5,0,1,1,372))))</f>
        <v>0</v>
      </c>
      <c r="NM44" s="38">
        <f t="shared" ca="1" si="8"/>
        <v>0</v>
      </c>
      <c r="NN44" s="38">
        <f t="shared" ca="1" si="8"/>
        <v>0</v>
      </c>
      <c r="NO44" s="38">
        <f t="shared" ca="1" si="8"/>
        <v>0</v>
      </c>
      <c r="NP44" s="38">
        <f t="shared" ca="1" si="8"/>
        <v>0</v>
      </c>
      <c r="NQ44" s="38">
        <f t="shared" ca="1" si="8"/>
        <v>0</v>
      </c>
      <c r="NR44" s="38">
        <f t="shared" ca="1" si="8"/>
        <v>0</v>
      </c>
      <c r="NS44" s="38">
        <f t="shared" ca="1" si="8"/>
        <v>0</v>
      </c>
    </row>
    <row r="45" spans="1:389" x14ac:dyDescent="0.35">
      <c r="B45" s="75" t="s">
        <v>66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15" cm="1">
        <f t="array" aca="1" ref="NK45" ca="1">SUMPRODUCT((OFFSET($B45,0,31*($B$5-1)+1,1,31)&lt;&gt;"")*(IF(OFFSET($B45,0,31*($B$5-1)+1,1,31)=$NY$12,0.5,IF(OFFSET($B45,0,31*($B$5-1)+1,1,31)=$NY$13,0.5,1))*(OFFSET($B$6,0,31*($B$5-1)+1,1,31))))</f>
        <v>0</v>
      </c>
      <c r="NL45" s="19" cm="1">
        <f t="array" aca="1" ref="NL45" ca="1">SUMPRODUCT((OFFSET($B45,0,1,1,372)&lt;&gt;"")*(IF(OFFSET($B45,0,1,1,372)=$NY$12,0.5,IF(OFFSET($B45,0,1,1,372)=$NY$13,0.5,1))*(OFFSET($B$5,0,1,1,372))))</f>
        <v>0</v>
      </c>
      <c r="NM45" s="38">
        <f t="shared" ca="1" si="8"/>
        <v>0</v>
      </c>
      <c r="NN45" s="38">
        <f t="shared" ca="1" si="8"/>
        <v>0</v>
      </c>
      <c r="NO45" s="38">
        <f t="shared" ca="1" si="8"/>
        <v>0</v>
      </c>
      <c r="NP45" s="38">
        <f t="shared" ca="1" si="8"/>
        <v>0</v>
      </c>
      <c r="NQ45" s="38">
        <f t="shared" ca="1" si="8"/>
        <v>0</v>
      </c>
      <c r="NR45" s="38">
        <f t="shared" ca="1" si="8"/>
        <v>0</v>
      </c>
      <c r="NS45" s="38">
        <f t="shared" ca="1" si="8"/>
        <v>0</v>
      </c>
    </row>
    <row r="46" spans="1:389" x14ac:dyDescent="0.35">
      <c r="C46" s="71"/>
    </row>
  </sheetData>
  <mergeCells count="10">
    <mergeCell ref="NM6:NS6"/>
    <mergeCell ref="NK7:NK8"/>
    <mergeCell ref="NL7:NL8"/>
    <mergeCell ref="NM7:NM8"/>
    <mergeCell ref="NN7:NN8"/>
    <mergeCell ref="NO7:NO8"/>
    <mergeCell ref="NP7:NP8"/>
    <mergeCell ref="NQ7:NQ8"/>
    <mergeCell ref="NR7:NR8"/>
    <mergeCell ref="NS7:NS8"/>
  </mergeCells>
  <conditionalFormatting sqref="C42:NJ45 C10:NJ10 C15:BF23 C14:AF14 AJ14:AK14 AQ14:AR14 AX14:AZ14 BE14:BF14 C27:BF38 C26:AF26 AJ26:AK26 AQ26:AR26 AX26:AZ26 BE26:BF26 C41:AF41 C11:BF13 BL11:NJ41 C25:BF25 C24:AF24 AJ24:AK24 AQ24:AR24 AX24:AZ24 BE24:BF24 C40:BF40 C39:AF39 AJ39:AK39 AQ39:AR39 AX39:AZ39 BE39:BF39 AJ41:AK41 AQ41:AR41 AX41:AZ41 BE41:BF41">
    <cfRule type="expression" dxfId="187" priority="304" stopIfTrue="1">
      <formula>AND(C$7&lt;&gt;"",VLOOKUP(C$8,$NX$28:$NY$41,2,0)&lt;&gt;"Yes")</formula>
    </cfRule>
    <cfRule type="expression" dxfId="186" priority="305" stopIfTrue="1">
      <formula>ISNUMBER(MATCH(DATE($B$4,$B$3+$B$5-1,C$7),HolidayListNamedRange,0))</formula>
    </cfRule>
  </conditionalFormatting>
  <conditionalFormatting sqref="NY28:NY41">
    <cfRule type="expression" dxfId="185" priority="301">
      <formula>NY28="No"</formula>
    </cfRule>
  </conditionalFormatting>
  <conditionalFormatting sqref="C26">
    <cfRule type="expression" dxfId="184" priority="296">
      <formula>AND(((COUNTIF(C18:C25,"O")+COUNTIF(C18:C25,"L")+COUNTIF(C18:C25,"H1")+COUNTIF(C18:C25,"H2")+COUNTIF(C18:C25,"OY")+COUNTIF(C18:C25,"M")+COUNTIF(C18:C25,"V")+COUNTIF(C18:C25,"P"))/5)&gt;=0,((COUNTIF(C18:C25,"O")+COUNTIF(C18:C25,"L")+COUNTIF(C18:C25,"H1")+COUNTIF(C18:C25,"H2")+COUNTIF(C18:C25,"OY")+COUNTIF(C18:C25,"M")+COUNTIF(C18:C25,"V")+COUNTIF(C18:C25,"P"))/5)&lt;=0.2)</formula>
    </cfRule>
    <cfRule type="expression" dxfId="183" priority="297">
      <formula>AND(((COUNTIF(C18:C25,"O")+COUNTIF(C18:C25,"L")+COUNTIF(C18:C25,"H1")+COUNTIF(C18:C25,"H2")+COUNTIF(C18:C25,"OY")+COUNTIF(C18:C25,"M")+COUNTIF(C18:C25,"V")+COUNTIF(C18:C25,"P"))/5)&gt;0.2,((COUNTIF(C18:C25,"O")+COUNTIF(C18:C25,"L")+COUNTIF(C18:C25,"H1")+COUNTIF(C18:C25,"H2")+COUNTIF(C18:C25,"OY")+COUNTIF(C18:C25,"M")+COUNTIF(C18:C25,"V")+COUNTIF(C18:C25,"P"))/5)&lt;=0.4)</formula>
    </cfRule>
    <cfRule type="expression" dxfId="182" priority="298">
      <formula>AND(((COUNTIF(C18:C25,"O")+COUNTIF(C18:C25,"L")+COUNTIF(C18:C25,"H1")+COUNTIF(C18:C25,"H2")+COUNTIF(C18:C25,"OY")+COUNTIF(C18:C25,"M")+COUNTIF(C18:C25,"V")+COUNTIF(C18:C25,"P"))/5)&gt;0.4,((COUNTIF(C18:C25,"O")+COUNTIF(C18:C25,"L")+COUNTIF(C18:C25,"H1")+COUNTIF(C18:C25,"H2")+COUNTIF(C18:C25,"OY")+COUNTIF(C18:C25,"M")+COUNTIF(C18:C25,"V")+COUNTIF(C18:C25,"P"))/5)&lt;=1)</formula>
    </cfRule>
  </conditionalFormatting>
  <conditionalFormatting sqref="D26:G26">
    <cfRule type="expression" dxfId="181" priority="293">
      <formula>AND(((COUNTIF(D18:D25,"O")+COUNTIF(D18:D25,"L")+COUNTIF(D18:D25,"H1")+COUNTIF(D18:D25,"H2")+COUNTIF(D18:D25,"OY")+COUNTIF(D18:D25,"M")+COUNTIF(D18:D25,"V")+COUNTIF(D18:D25,"P"))/5)&gt;=0,((COUNTIF(D18:D25,"O")+COUNTIF(D18:D25,"L")+COUNTIF(D18:D25,"H1")+COUNTIF(D18:D25,"H2")+COUNTIF(D18:D25,"OY")+COUNTIF(D18:D25,"M")+COUNTIF(D18:D25,"V")+COUNTIF(D18:D25,"P"))/5)&lt;=0.2)</formula>
    </cfRule>
    <cfRule type="expression" dxfId="180" priority="294">
      <formula>AND(((COUNTIF(D18:D25,"O")+COUNTIF(D18:D25,"L")+COUNTIF(D18:D25,"H1")+COUNTIF(D18:D25,"H2")+COUNTIF(D18:D25,"OY")+COUNTIF(D18:D25,"M")+COUNTIF(D18:D25,"V")+COUNTIF(D18:D25,"P"))/5)&gt;0.2,((COUNTIF(D18:D25,"O")+COUNTIF(D18:D25,"L")+COUNTIF(D18:D25,"H1")+COUNTIF(D18:D25,"H2")+COUNTIF(D18:D25,"OY")+COUNTIF(D18:D25,"M")+COUNTIF(D18:D25,"V")+COUNTIF(D18:D25,"P"))/5)&lt;=0.4)</formula>
    </cfRule>
    <cfRule type="expression" dxfId="179" priority="295">
      <formula>AND(((COUNTIF(D18:D25,"O")+COUNTIF(D18:D25,"L")+COUNTIF(D18:D25,"H1")+COUNTIF(D18:D25,"H2")+COUNTIF(D18:D25,"OY")+COUNTIF(D18:D25,"M")+COUNTIF(D18:D25,"V")+COUNTIF(D18:D25,"P"))/5)&gt;0.4,((COUNTIF(D18:D25,"O")+COUNTIF(D18:D25,"L")+COUNTIF(D18:D25,"H1")+COUNTIF(D18:D25,"H2")+COUNTIF(D18:D25,"OY")+COUNTIF(D18:D25,"M")+COUNTIF(D18:D25,"V")+COUNTIF(D18:D25,"P"))/5)&lt;=1)</formula>
    </cfRule>
  </conditionalFormatting>
  <conditionalFormatting sqref="J26:N26">
    <cfRule type="expression" dxfId="178" priority="290">
      <formula>AND(((COUNTIF(J18:J25,"O")+COUNTIF(J18:J25,"L")+COUNTIF(J18:J25,"H1")+COUNTIF(J18:J25,"H2")+COUNTIF(J18:J25,"OY")+COUNTIF(J18:J25,"M")+COUNTIF(J18:J25,"V")+COUNTIF(J18:J25,"P"))/5)&gt;=0,((COUNTIF(J18:J25,"O")+COUNTIF(J18:J25,"L")+COUNTIF(J18:J25,"H1")+COUNTIF(J18:J25,"H2")+COUNTIF(J18:J25,"OY")+COUNTIF(J18:J25,"M")+COUNTIF(J18:J25,"V")+COUNTIF(J18:J25,"P"))/5)&lt;=0.2)</formula>
    </cfRule>
    <cfRule type="expression" dxfId="177" priority="291">
      <formula>AND(((COUNTIF(J18:J25,"O")+COUNTIF(J18:J25,"L")+COUNTIF(J18:J25,"H1")+COUNTIF(J18:J25,"H2")+COUNTIF(J18:J25,"OY")+COUNTIF(J18:J25,"M")+COUNTIF(J18:J25,"V")+COUNTIF(J18:J25,"P"))/5)&gt;0.2,((COUNTIF(J18:J25,"O")+COUNTIF(J18:J25,"L")+COUNTIF(J18:J25,"H1")+COUNTIF(J18:J25,"H2")+COUNTIF(J18:J25,"OY")+COUNTIF(J18:J25,"M")+COUNTIF(J18:J25,"V")+COUNTIF(J18:J25,"P"))/5)&lt;=0.4)</formula>
    </cfRule>
    <cfRule type="expression" dxfId="176" priority="292">
      <formula>AND(((COUNTIF(J18:J25,"O")+COUNTIF(J18:J25,"L")+COUNTIF(J18:J25,"H1")+COUNTIF(J18:J25,"H2")+COUNTIF(J18:J25,"OY")+COUNTIF(J18:J25,"M")+COUNTIF(J18:J25,"V")+COUNTIF(J18:J25,"P"))/5)&gt;0.4,((COUNTIF(J18:J25,"O")+COUNTIF(J18:J25,"L")+COUNTIF(J18:J25,"H1")+COUNTIF(J18:J25,"H2")+COUNTIF(J18:J25,"OY")+COUNTIF(J18:J25,"M")+COUNTIF(J18:J25,"V")+COUNTIF(J18:J25,"P"))/5)&lt;=1)</formula>
    </cfRule>
  </conditionalFormatting>
  <conditionalFormatting sqref="Q26:U26">
    <cfRule type="expression" dxfId="175" priority="287">
      <formula>AND(((COUNTIF(Q18:Q25,"O")+COUNTIF(Q18:Q25,"L")+COUNTIF(Q18:Q25,"H1")+COUNTIF(Q18:Q25,"H2")+COUNTIF(Q18:Q25,"OY")+COUNTIF(Q18:Q25,"M")+COUNTIF(Q18:Q25,"V")+COUNTIF(Q18:Q25,"P"))/5)&gt;=0,((COUNTIF(Q18:Q25,"O")+COUNTIF(Q18:Q25,"L")+COUNTIF(Q18:Q25,"H1")+COUNTIF(Q18:Q25,"H2")+COUNTIF(Q18:Q25,"OY")+COUNTIF(Q18:Q25,"M")+COUNTIF(Q18:Q25,"V")+COUNTIF(Q18:Q25,"P"))/5)&lt;=0.2)</formula>
    </cfRule>
    <cfRule type="expression" dxfId="174" priority="288">
      <formula>AND(((COUNTIF(Q18:Q25,"O")+COUNTIF(Q18:Q25,"L")+COUNTIF(Q18:Q25,"H1")+COUNTIF(Q18:Q25,"H2")+COUNTIF(Q18:Q25,"OY")+COUNTIF(Q18:Q25,"M")+COUNTIF(Q18:Q25,"V")+COUNTIF(Q18:Q25,"P"))/5)&gt;0.2,((COUNTIF(Q18:Q25,"O")+COUNTIF(Q18:Q25,"L")+COUNTIF(Q18:Q25,"H1")+COUNTIF(Q18:Q25,"H2")+COUNTIF(Q18:Q25,"OY")+COUNTIF(Q18:Q25,"M")+COUNTIF(Q18:Q25,"V")+COUNTIF(Q18:Q25,"P"))/5)&lt;=0.4)</formula>
    </cfRule>
    <cfRule type="expression" dxfId="173" priority="289">
      <formula>AND(((COUNTIF(Q18:Q25,"O")+COUNTIF(Q18:Q25,"L")+COUNTIF(Q18:Q25,"H1")+COUNTIF(Q18:Q25,"H2")+COUNTIF(Q18:Q25,"OY")+COUNTIF(Q18:Q25,"M")+COUNTIF(Q18:Q25,"V")+COUNTIF(Q18:Q25,"P"))/5)&gt;0.4,((COUNTIF(Q18:Q25,"O")+COUNTIF(Q18:Q25,"L")+COUNTIF(Q18:Q25,"H1")+COUNTIF(Q18:Q25,"H2")+COUNTIF(Q18:Q25,"OY")+COUNTIF(Q18:Q25,"M")+COUNTIF(Q18:Q25,"V")+COUNTIF(Q18:Q25,"P"))/5)&lt;=1)</formula>
    </cfRule>
  </conditionalFormatting>
  <conditionalFormatting sqref="X26:AB26">
    <cfRule type="expression" dxfId="172" priority="284">
      <formula>AND(((COUNTIF(X18:X25,"O")+COUNTIF(X18:X25,"L")+COUNTIF(X18:X25,"H1")+COUNTIF(X18:X25,"H2")+COUNTIF(X18:X25,"OY")+COUNTIF(X18:X25,"M")+COUNTIF(X18:X25,"V")+COUNTIF(X18:X25,"P"))/5)&gt;=0,((COUNTIF(X18:X25,"O")+COUNTIF(X18:X25,"L")+COUNTIF(X18:X25,"H1")+COUNTIF(X18:X25,"H2")+COUNTIF(X18:X25,"OY")+COUNTIF(X18:X25,"M")+COUNTIF(X18:X25,"V")+COUNTIF(X18:X25,"P"))/5)&lt;=0.2)</formula>
    </cfRule>
    <cfRule type="expression" dxfId="171" priority="285">
      <formula>AND(((COUNTIF(X18:X25,"O")+COUNTIF(X18:X25,"L")+COUNTIF(X18:X25,"H1")+COUNTIF(X18:X25,"H2")+COUNTIF(X18:X25,"OY")+COUNTIF(X18:X25,"M")+COUNTIF(X18:X25,"V")+COUNTIF(X18:X25,"P"))/5)&gt;0.2,((COUNTIF(X18:X25,"O")+COUNTIF(X18:X25,"L")+COUNTIF(X18:X25,"H1")+COUNTIF(X18:X25,"H2")+COUNTIF(X18:X25,"OY")+COUNTIF(X18:X25,"M")+COUNTIF(X18:X25,"V")+COUNTIF(X18:X25,"P"))/5)&lt;=0.4)</formula>
    </cfRule>
    <cfRule type="expression" dxfId="170" priority="286">
      <formula>AND(((COUNTIF(X18:X25,"O")+COUNTIF(X18:X25,"L")+COUNTIF(X18:X25,"H1")+COUNTIF(X18:X25,"H2")+COUNTIF(X18:X25,"OY")+COUNTIF(X18:X25,"M")+COUNTIF(X18:X25,"V")+COUNTIF(X18:X25,"P"))/5)&gt;0.4,((COUNTIF(X18:X25,"O")+COUNTIF(X18:X25,"L")+COUNTIF(X18:X25,"H1")+COUNTIF(X18:X25,"H2")+COUNTIF(X18:X25,"OY")+COUNTIF(X18:X25,"M")+COUNTIF(X18:X25,"V")+COUNTIF(X18:X25,"P"))/5)&lt;=1)</formula>
    </cfRule>
  </conditionalFormatting>
  <conditionalFormatting sqref="AE26:AF26">
    <cfRule type="expression" dxfId="169" priority="281">
      <formula>AND(((COUNTIF(AE18:AE25,"O")+COUNTIF(AE18:AE25,"L")+COUNTIF(AE18:AE25,"H1")+COUNTIF(AE18:AE25,"H2")+COUNTIF(AE18:AE25,"OY")+COUNTIF(AE18:AE25,"M")+COUNTIF(AE18:AE25,"V")+COUNTIF(AE18:AE25,"P"))/5)&gt;=0,((COUNTIF(AE18:AE25,"O")+COUNTIF(AE18:AE25,"L")+COUNTIF(AE18:AE25,"H1")+COUNTIF(AE18:AE25,"H2")+COUNTIF(AE18:AE25,"OY")+COUNTIF(AE18:AE25,"M")+COUNTIF(AE18:AE25,"V")+COUNTIF(AE18:AE25,"P"))/5)&lt;=0.2)</formula>
    </cfRule>
    <cfRule type="expression" dxfId="168" priority="282">
      <formula>AND(((COUNTIF(AE18:AE25,"O")+COUNTIF(AE18:AE25,"L")+COUNTIF(AE18:AE25,"H1")+COUNTIF(AE18:AE25,"H2")+COUNTIF(AE18:AE25,"OY")+COUNTIF(AE18:AE25,"M")+COUNTIF(AE18:AE25,"V")+COUNTIF(AE18:AE25,"P"))/5)&gt;0.2,((COUNTIF(AE18:AE25,"O")+COUNTIF(AE18:AE25,"L")+COUNTIF(AE18:AE25,"H1")+COUNTIF(AE18:AE25,"H2")+COUNTIF(AE18:AE25,"OY")+COUNTIF(AE18:AE25,"M")+COUNTIF(AE18:AE25,"V")+COUNTIF(AE18:AE25,"P"))/5)&lt;=0.4)</formula>
    </cfRule>
    <cfRule type="expression" dxfId="167" priority="283">
      <formula>AND(((COUNTIF(AE18:AE25,"O")+COUNTIF(AE18:AE25,"L")+COUNTIF(AE18:AE25,"H1")+COUNTIF(AE18:AE25,"H2")+COUNTIF(AE18:AE25,"OY")+COUNTIF(AE18:AE25,"M")+COUNTIF(AE18:AE25,"V")+COUNTIF(AE18:AE25,"P"))/5)&gt;0.4,((COUNTIF(AE18:AE25,"O")+COUNTIF(AE18:AE25,"L")+COUNTIF(AE18:AE25,"H1")+COUNTIF(AE18:AE25,"H2")+COUNTIF(AE18:AE25,"OY")+COUNTIF(AE18:AE25,"M")+COUNTIF(AE18:AE25,"V")+COUNTIF(AE18:AE25,"P"))/5)&lt;=1)</formula>
    </cfRule>
  </conditionalFormatting>
  <conditionalFormatting sqref="AG14:AI14">
    <cfRule type="expression" dxfId="166" priority="204" stopIfTrue="1">
      <formula>AND(AG$7&lt;&gt;"",VLOOKUP(AG$8,$NX$26:$NY$32,2,0)&lt;&gt;"Yes")</formula>
    </cfRule>
    <cfRule type="expression" dxfId="165" priority="205" stopIfTrue="1">
      <formula>ISNUMBER(MATCH(DATE($B$4,$B$3+$B$5-1,AG$7),HolidayListNamedRange,0))</formula>
    </cfRule>
  </conditionalFormatting>
  <conditionalFormatting sqref="AG14:AI14">
    <cfRule type="expression" dxfId="164" priority="201">
      <formula>AND(((COUNTIF(AG12:AG13,"O")+COUNTIF(AG12:AG13,"L")+COUNTIF(AG12:AG13,"H1")+COUNTIF(AG12:AG13,"H2")+COUNTIF(AG12:AG13,"OY")+COUNTIF(AG12:AG13,"M")+COUNTIF(AG12:AG13,"V")+COUNTIF(AG12:AG13,"P"))/2)&gt;=0,((COUNTIF(AG12:AG13,"O")+COUNTIF(AG12:AG13,"L")+COUNTIF(AG12:AG13,"H1")+COUNTIF(AG12:AG13,"H2")+COUNTIF(AG12:AG13,"OY")+COUNTIF(AG12:AG13,"M")+COUNTIF(AG12:AG13,"V")+COUNTIF(AG12:AG13,"P"))/3)&lt;=0.2)</formula>
    </cfRule>
    <cfRule type="expression" dxfId="163" priority="202">
      <formula>AND(((COUNTIF(AG12:AG13,"O")+COUNTIF(AG12:AG13,"L")+COUNTIF(AG12:AG13,"H1")+COUNTIF(AG12:AG13,"H2")+COUNTIF(AG12:AG13,"OY")+COUNTIF(AG12:AG13,"M")+COUNTIF(AG12:AG13,"V")+COUNTIF(AG12:AG13,"P"))/2)&gt;0.2,((COUNTIF(AG12:AG13,"O")+COUNTIF(AG12:AG13,"L")+COUNTIF(AG12:AG13,"H1")+COUNTIF(AG12:AG13,"H2")+COUNTIF(AG12:AG13,"OY")+COUNTIF(AG12:AG13,"M")+COUNTIF(AG12:AG13,"V")+COUNTIF(AG12:AG13,"P"))/2)&lt;=0.4)</formula>
    </cfRule>
    <cfRule type="expression" dxfId="162" priority="203">
      <formula>AND(((COUNTIF(AG12:AG13,"O")+COUNTIF(AG12:AG13,"L")+COUNTIF(AG12:AG13,"H1")+COUNTIF(AG12:AG13,"H2")+COUNTIF(AG12:AG13,"OY")+COUNTIF(AG12:AG13,"M")+COUNTIF(AG12:AG13,"V")+COUNTIF(AG12:AG13,"P"))/2)&gt;=0.4,((COUNTIF(AG12:AG13,"O")+COUNTIF(AG12:AG13,"L")+COUNTIF(AG12:AG13,"H1")+COUNTIF(AG12:AG13,"H2")+COUNTIF(AG12:AG13,"OY")+COUNTIF(AG12:AG13,"M")+COUNTIF(AG12:AG13,"V")+COUNTIF(AG12:AG13,"P"))/2)&lt;=1)</formula>
    </cfRule>
  </conditionalFormatting>
  <conditionalFormatting sqref="AL14:AP14">
    <cfRule type="expression" dxfId="161" priority="199" stopIfTrue="1">
      <formula>AND(AL$7&lt;&gt;"",VLOOKUP(AL$8,$NX$26:$NY$32,2,0)&lt;&gt;"Yes")</formula>
    </cfRule>
    <cfRule type="expression" dxfId="160" priority="200" stopIfTrue="1">
      <formula>ISNUMBER(MATCH(DATE($B$4,$B$3+$B$5-1,AL$7),HolidayListNamedRange,0))</formula>
    </cfRule>
  </conditionalFormatting>
  <conditionalFormatting sqref="AL14:AP14">
    <cfRule type="expression" dxfId="159" priority="196">
      <formula>AND(((COUNTIF(AL12:AL13,"O")+COUNTIF(AL12:AL13,"L")+COUNTIF(AL12:AL13,"H1")+COUNTIF(AL12:AL13,"H2")+COUNTIF(AL12:AL13,"OY")+COUNTIF(AL12:AL13,"M")+COUNTIF(AL12:AL13,"V")+COUNTIF(AL12:AL13,"P"))/2)&gt;=0,((COUNTIF(AL12:AL13,"O")+COUNTIF(AL12:AL13,"L")+COUNTIF(AL12:AL13,"H1")+COUNTIF(AL12:AL13,"H2")+COUNTIF(AL12:AL13,"OY")+COUNTIF(AL12:AL13,"M")+COUNTIF(AL12:AL13,"V")+COUNTIF(AL12:AL13,"P"))/2)&lt;=0.2)</formula>
    </cfRule>
    <cfRule type="expression" dxfId="158" priority="197">
      <formula>AND(((COUNTIF(AL12:AL13,"O")+COUNTIF(AL12:AL13,"L")+COUNTIF(AL12:AL13,"H1")+COUNTIF(AL12:AL13,"H2")+COUNTIF(AL12:AL13,"OY")+COUNTIF(AL12:AL13,"M")+COUNTIF(AL12:AL13,"V")+COUNTIF(AL12:AL13,"P"))/2)&gt;0.2,((COUNTIF(AL12:AL13,"O")+COUNTIF(AL12:AL13,"L")+COUNTIF(AL12:AL13,"H1")+COUNTIF(AL12:AL13,"H2")+COUNTIF(AL12:AL13,"OY")+COUNTIF(AL12:AL13,"M")+COUNTIF(AL12:AL13,"V")+COUNTIF(AL12:AL13,"P"))/2)&lt;=0.4)</formula>
    </cfRule>
    <cfRule type="expression" dxfId="157" priority="198">
      <formula>AND(((COUNTIF(AL12:AL13,"O")+COUNTIF(AL12:AL13,"L")+COUNTIF(AL12:AL13,"H1")+COUNTIF(AL12:AL13,"H2")+COUNTIF(AL12:AL13,"OY")+COUNTIF(AL12:AL13,"M")+COUNTIF(AL12:AL13,"V")+COUNTIF(AL12:AL13,"P"))/2)&gt;=0.4,((COUNTIF(AL12:AL13,"O")+COUNTIF(AL12:AL13,"L")+COUNTIF(AL12:AL13,"H1")+COUNTIF(AL12:AL13,"H2")+COUNTIF(AL12:AL13,"OY")+COUNTIF(AL12:AL13,"M")+COUNTIF(AL12:AL13,"V")+COUNTIF(AL12:AL13,"P"))/2)&lt;=1)</formula>
    </cfRule>
  </conditionalFormatting>
  <conditionalFormatting sqref="AS14:AW14">
    <cfRule type="expression" dxfId="156" priority="194" stopIfTrue="1">
      <formula>AND(AS$7&lt;&gt;"",VLOOKUP(AS$8,$NX$26:$NY$32,2,0)&lt;&gt;"Yes")</formula>
    </cfRule>
    <cfRule type="expression" dxfId="155" priority="195" stopIfTrue="1">
      <formula>ISNUMBER(MATCH(DATE($B$4,$B$3+$B$5-1,AS$7),HolidayListNamedRange,0))</formula>
    </cfRule>
  </conditionalFormatting>
  <conditionalFormatting sqref="AS14:AW14">
    <cfRule type="expression" dxfId="154" priority="191">
      <formula>AND(((COUNTIF(AS12:AS13,"O")+COUNTIF(AS12:AS13,"L")+COUNTIF(AS12:AS13,"H1")+COUNTIF(AS12:AS13,"H2")+COUNTIF(AS12:AS13,"OY")+COUNTIF(AS12:AS13,"M")+COUNTIF(AS12:AS13,"V")+COUNTIF(AS12:AS13,"P"))/2)&gt;=0,((COUNTIF(AS12:AS13,"O")+COUNTIF(AS12:AS13,"L")+COUNTIF(AS12:AS13,"H1")+COUNTIF(AS12:AS13,"H2")+COUNTIF(AS12:AS13,"OY")+COUNTIF(AS12:AS13,"M")+COUNTIF(AS12:AS13,"V")+COUNTIF(AS12:AS13,"P"))/2)&lt;=0.2)</formula>
    </cfRule>
    <cfRule type="expression" dxfId="153" priority="192">
      <formula>AND(((COUNTIF(AS12:AS13,"O")+COUNTIF(AS12:AS13,"L")+COUNTIF(AS12:AS13,"H1")+COUNTIF(AS12:AS13,"H2")+COUNTIF(AS12:AS13,"OY")+COUNTIF(AS12:AS13,"M")+COUNTIF(AS12:AS13,"V")+COUNTIF(AS12:AS13,"P"))/2)&gt;0.2,((COUNTIF(AS12:AS13,"O")+COUNTIF(AS12:AS13,"L")+COUNTIF(AS12:AS13,"H1")+COUNTIF(AS12:AS13,"H2")+COUNTIF(AS12:AS13,"OY")+COUNTIF(AS12:AS13,"M")+COUNTIF(AS12:AS13,"V")+COUNTIF(AS12:AS13,"P"))/2)&lt;=0.4)</formula>
    </cfRule>
    <cfRule type="expression" dxfId="152" priority="193">
      <formula>AND(((COUNTIF(AS12:AS13,"O")+COUNTIF(AS12:AS13,"L")+COUNTIF(AS12:AS13,"H1")+COUNTIF(AS12:AS13,"H2")+COUNTIF(AS12:AS13,"OY")+COUNTIF(AS12:AS13,"M")+COUNTIF(AS12:AS13,"V")+COUNTIF(AS12:AS13,"P"))/2)&gt;=0.4,((COUNTIF(AS12:AS13,"O")+COUNTIF(AS12:AS13,"L")+COUNTIF(AS12:AS13,"H1")+COUNTIF(AS12:AS13,"H2")+COUNTIF(AS12:AS13,"OY")+COUNTIF(AS12:AS13,"M")+COUNTIF(AS12:AS13,"V")+COUNTIF(AS12:AS13,"P"))/2)&lt;=1)</formula>
    </cfRule>
  </conditionalFormatting>
  <conditionalFormatting sqref="BA14:BD14">
    <cfRule type="expression" dxfId="151" priority="189" stopIfTrue="1">
      <formula>AND(BA$7&lt;&gt;"",VLOOKUP(BA$8,$NX$26:$NY$32,2,0)&lt;&gt;"Yes")</formula>
    </cfRule>
    <cfRule type="expression" dxfId="150" priority="190" stopIfTrue="1">
      <formula>ISNUMBER(MATCH(DATE($B$4,$B$3+$B$5-1,BA$7),HolidayListNamedRange,0))</formula>
    </cfRule>
  </conditionalFormatting>
  <conditionalFormatting sqref="BA14:BD14">
    <cfRule type="expression" dxfId="149" priority="186">
      <formula>AND(((COUNTIF(BA12:BA13,"O")+COUNTIF(BA12:BA13,"L")+COUNTIF(BA12:BA13,"H1")+COUNTIF(BA12:BA13,"H2")+COUNTIF(BA12:BA13,"OY")+COUNTIF(BA12:BA13,"M")+COUNTIF(BA12:BA13,"V")+COUNTIF(BA12:BA13,"P"))/2)&gt;=0,((COUNTIF(BA12:BA13,"O")+COUNTIF(BA12:BA13,"L")+COUNTIF(BA12:BA13,"H1")+COUNTIF(BA12:BA13,"H2")+COUNTIF(BA12:BA13,"OY")+COUNTIF(BA12:BA13,"M")+COUNTIF(BA12:BA13,"V")+COUNTIF(BA12:BA13,"P"))/2)&lt;=0.2)</formula>
    </cfRule>
    <cfRule type="expression" dxfId="148" priority="187">
      <formula>AND(((COUNTIF(BA12:BA13,"O")+COUNTIF(BA12:BA13,"L")+COUNTIF(BA12:BA13,"H1")+COUNTIF(BA12:BA13,"H2")+COUNTIF(BA12:BA13,"OY")+COUNTIF(BA12:BA13,"M")+COUNTIF(BA12:BA13,"V")+COUNTIF(BA12:BA13,"P"))/2)&gt;0.2,((COUNTIF(BA12:BA13,"O")+COUNTIF(BA12:BA13,"L")+COUNTIF(BA12:BA13,"H1")+COUNTIF(BA12:BA13,"H2")+COUNTIF(BA12:BA13,"OY")+COUNTIF(BA12:BA13,"M")+COUNTIF(BA12:BA13,"V")+COUNTIF(BA12:BA13,"P"))/2)&lt;=0.4)</formula>
    </cfRule>
    <cfRule type="expression" dxfId="147" priority="188">
      <formula>AND(((COUNTIF(BA12:BA13,"O")+COUNTIF(BA12:BA13,"L")+COUNTIF(BA12:BA13,"H1")+COUNTIF(BA12:BA13,"H2")+COUNTIF(BA12:BA13,"OY")+COUNTIF(BA12:BA13,"M")+COUNTIF(BA12:BA13,"V")+COUNTIF(BA12:BA13,"P"))/2)&gt;=0.4,((COUNTIF(BA12:BA13,"O")+COUNTIF(BA12:BA13,"L")+COUNTIF(BA12:BA13,"H1")+COUNTIF(BA12:BA13,"H2")+COUNTIF(BA12:BA13,"OY")+COUNTIF(BA12:BA13,"M")+COUNTIF(BA12:BA13,"V")+COUNTIF(BA12:BA13,"P"))/2)&lt;=1)</formula>
    </cfRule>
  </conditionalFormatting>
  <conditionalFormatting sqref="AG24:AI24">
    <cfRule type="expression" dxfId="146" priority="106" stopIfTrue="1">
      <formula>AND(AG$7&lt;&gt;"",VLOOKUP(AG$8,$NX$23:$NY$29,2,0)&lt;&gt;"Yes")</formula>
    </cfRule>
    <cfRule type="expression" dxfId="145" priority="107" stopIfTrue="1">
      <formula>ISNUMBER(MATCH(DATE($B$4,$B$3+$B$5-1,AG$7),HolidayListNamedRange,0))</formula>
    </cfRule>
  </conditionalFormatting>
  <conditionalFormatting sqref="AG24:AI24">
    <cfRule type="expression" dxfId="144" priority="108">
      <formula>AND(((COUNTIF(AG8:AG23,"O")+COUNTIF(AG8:AG23,"L")+COUNTIF(AG8:AG23,"H1")+COUNTIF(AG8:AG23,"H2")+COUNTIF(AG8:AG23,"OY")+COUNTIF(AG8:AG23,"M")+COUNTIF(AG8:AG23,"V")+COUNTIF(AG8:AG23,"P"))/13)&gt;=0,((COUNTIF(AG8:AG23,"O")+COUNTIF(AG8:AG23,"L")+COUNTIF(AG8:AG23,"H1")+COUNTIF(AG8:AG23,"H2")+COUNTIF(AG8:AG23,"OY")+COUNTIF(AG8:AG23,"M")+COUNTIF(AG8:AG23,"V")+COUNTIF(AG8:AG23,"P"))/13)&lt;=0.2)</formula>
    </cfRule>
    <cfRule type="expression" dxfId="143" priority="109">
      <formula>AND(((COUNTIF(AG8:AG23,"O")+COUNTIF(AG8:AG23,"L")+COUNTIF(AG8:AG23,"H1")+COUNTIF(AG8:AG23,"H2")+COUNTIF(AG8:AG23,"OY")+COUNTIF(AG8:AG23,"M")+COUNTIF(AG8:AG23,"V")+COUNTIF(AG8:AG23,"P"))/13)&gt;0.2,((COUNTIF(AG8:AG23,"O")+COUNTIF(AG8:AG23,"L")+COUNTIF(AG8:AG23,"H1")+COUNTIF(AG8:AG23,"H2")+COUNTIF(AG8:AG23,"OY")+COUNTIF(AG8:AG23,"M")+COUNTIF(AG8:AG23,"V")+COUNTIF(AG8:AG23,"P"))/13)&lt;=0.4)</formula>
    </cfRule>
    <cfRule type="expression" dxfId="142" priority="110">
      <formula>AND(((COUNTIF(AG8:AG23,"O")+COUNTIF(AG8:AG23,"L")+COUNTIF(AG8:AG23,"H1")+COUNTIF(AG8:AG23,"H2")+COUNTIF(AG8:AG23,"OY")+COUNTIF(AG8:AG23,"M")+COUNTIF(AG8:AG23,"V")+COUNTIF(AG8:AG23,"P"))/13)&gt;=0.4,((COUNTIF(AG8:AG23,"O")+COUNTIF(AG8:AG23,"L")+COUNTIF(AG8:AG23,"H1")+COUNTIF(AG8:AG23,"H2")+COUNTIF(AG8:AG23,"OY")+COUNTIF(AG8:AG23,"M")+COUNTIF(AG8:AG23,"V")+COUNTIF(AG8:AG23,"P"))/13)&lt;=1)</formula>
    </cfRule>
  </conditionalFormatting>
  <conditionalFormatting sqref="AL24:AP24">
    <cfRule type="expression" dxfId="141" priority="101" stopIfTrue="1">
      <formula>AND(AL$7&lt;&gt;"",VLOOKUP(AL$8,$NX$23:$NY$29,2,0)&lt;&gt;"Yes")</formula>
    </cfRule>
    <cfRule type="expression" dxfId="140" priority="102" stopIfTrue="1">
      <formula>ISNUMBER(MATCH(DATE($B$4,$B$3+$B$5-1,AL$7),HolidayListNamedRange,0))</formula>
    </cfRule>
  </conditionalFormatting>
  <conditionalFormatting sqref="AL24:AP24">
    <cfRule type="expression" dxfId="139" priority="103">
      <formula>AND(((COUNTIF(AL8:AL23,"O")+COUNTIF(AL8:AL23,"L")+COUNTIF(AL8:AL23,"H1")+COUNTIF(AL8:AL23,"H2")+COUNTIF(AL8:AL23,"OY")+COUNTIF(AL8:AL23,"M")+COUNTIF(AL8:AL23,"V")+COUNTIF(AL8:AL23,"P"))/13)&gt;=0,((COUNTIF(AL8:AL23,"O")+COUNTIF(AL8:AL23,"L")+COUNTIF(AL8:AL23,"H1")+COUNTIF(AL8:AL23,"H2")+COUNTIF(AL8:AL23,"OY")+COUNTIF(AL8:AL23,"M")+COUNTIF(AL8:AL23,"V")+COUNTIF(AL8:AL23,"P"))/13)&lt;=0.2)</formula>
    </cfRule>
    <cfRule type="expression" dxfId="138" priority="104">
      <formula>AND(((COUNTIF(AL8:AL23,"O")+COUNTIF(AL8:AL23,"L")+COUNTIF(AL8:AL23,"H1")+COUNTIF(AL8:AL23,"H2")+COUNTIF(AL8:AL23,"OY")+COUNTIF(AL8:AL23,"M")+COUNTIF(AL8:AL23,"V")+COUNTIF(AL8:AL23,"P"))/13)&gt;0.2,((COUNTIF(AL8:AL23,"O")+COUNTIF(AL8:AL23,"L")+COUNTIF(AL8:AL23,"H1")+COUNTIF(AL8:AL23,"H2")+COUNTIF(AL8:AL23,"OY")+COUNTIF(AL8:AL23,"M")+COUNTIF(AL8:AL23,"V")+COUNTIF(AL8:AL23,"P"))/13)&lt;=0.4)</formula>
    </cfRule>
    <cfRule type="expression" dxfId="137" priority="105">
      <formula>AND(((COUNTIF(AL8:AL23,"O")+COUNTIF(AL8:AL23,"L")+COUNTIF(AL8:AL23,"H1")+COUNTIF(AL8:AL23,"H2")+COUNTIF(AL8:AL23,"OY")+COUNTIF(AL8:AL23,"M")+COUNTIF(AL8:AL23,"V")+COUNTIF(AL8:AL23,"P"))/13)&gt;=0.4,((COUNTIF(AL8:AL23,"O")+COUNTIF(AL8:AL23,"L")+COUNTIF(AL8:AL23,"H1")+COUNTIF(AL8:AL23,"H2")+COUNTIF(AL8:AL23,"OY")+COUNTIF(AL8:AL23,"M")+COUNTIF(AL8:AL23,"V")+COUNTIF(AL8:AL23,"P"))/13)&lt;=1)</formula>
    </cfRule>
  </conditionalFormatting>
  <conditionalFormatting sqref="AS24:AW24">
    <cfRule type="expression" dxfId="136" priority="96" stopIfTrue="1">
      <formula>AND(AS$7&lt;&gt;"",VLOOKUP(AS$8,$NX$23:$NY$29,2,0)&lt;&gt;"Yes")</formula>
    </cfRule>
    <cfRule type="expression" dxfId="135" priority="97" stopIfTrue="1">
      <formula>ISNUMBER(MATCH(DATE($B$4,$B$3+$B$5-1,AS$7),HolidayListNamedRange,0))</formula>
    </cfRule>
  </conditionalFormatting>
  <conditionalFormatting sqref="AS24:AW24">
    <cfRule type="expression" dxfId="134" priority="98">
      <formula>AND(((COUNTIF(AS8:AS23,"O")+COUNTIF(AS8:AS23,"L")+COUNTIF(AS8:AS23,"H1")+COUNTIF(AS8:AS23,"H2")+COUNTIF(AS8:AS23,"OY")+COUNTIF(AS8:AS23,"M")+COUNTIF(AS8:AS23,"V")+COUNTIF(AS8:AS23,"P"))/13)&gt;=0,((COUNTIF(AS8:AS23,"O")+COUNTIF(AS8:AS23,"L")+COUNTIF(AS8:AS23,"H1")+COUNTIF(AS8:AS23,"H2")+COUNTIF(AS8:AS23,"OY")+COUNTIF(AS8:AS23,"M")+COUNTIF(AS8:AS23,"V")+COUNTIF(AS8:AS23,"P"))/13)&lt;=0.2)</formula>
    </cfRule>
    <cfRule type="expression" dxfId="133" priority="99">
      <formula>AND(((COUNTIF(AS8:AS23,"O")+COUNTIF(AS8:AS23,"L")+COUNTIF(AS8:AS23,"H1")+COUNTIF(AS8:AS23,"H2")+COUNTIF(AS8:AS23,"OY")+COUNTIF(AS8:AS23,"M")+COUNTIF(AS8:AS23,"V")+COUNTIF(AS8:AS23,"P"))/13)&gt;0.2,((COUNTIF(AS8:AS23,"O")+COUNTIF(AS8:AS23,"L")+COUNTIF(AS8:AS23,"H1")+COUNTIF(AS8:AS23,"H2")+COUNTIF(AS8:AS23,"OY")+COUNTIF(AS8:AS23,"M")+COUNTIF(AS8:AS23,"V")+COUNTIF(AS8:AS23,"P"))/13)&lt;=0.4)</formula>
    </cfRule>
    <cfRule type="expression" dxfId="132" priority="100">
      <formula>AND(((COUNTIF(AS8:AS23,"O")+COUNTIF(AS8:AS23,"L")+COUNTIF(AS8:AS23,"H1")+COUNTIF(AS8:AS23,"H2")+COUNTIF(AS8:AS23,"OY")+COUNTIF(AS8:AS23,"M")+COUNTIF(AS8:AS23,"V")+COUNTIF(AS8:AS23,"P"))/13)&gt;=0.4,((COUNTIF(AS8:AS23,"O")+COUNTIF(AS8:AS23,"L")+COUNTIF(AS8:AS23,"H1")+COUNTIF(AS8:AS23,"H2")+COUNTIF(AS8:AS23,"OY")+COUNTIF(AS8:AS23,"M")+COUNTIF(AS8:AS23,"V")+COUNTIF(AS8:AS23,"P"))/13)&lt;=1)</formula>
    </cfRule>
  </conditionalFormatting>
  <conditionalFormatting sqref="BA24:BD24">
    <cfRule type="expression" dxfId="131" priority="91" stopIfTrue="1">
      <formula>AND(BA$7&lt;&gt;"",VLOOKUP(BA$8,$NX$23:$NY$29,2,0)&lt;&gt;"Yes")</formula>
    </cfRule>
    <cfRule type="expression" dxfId="130" priority="92" stopIfTrue="1">
      <formula>ISNUMBER(MATCH(DATE($B$4,$B$3+$B$5-1,BA$7),HolidayListNamedRange,0))</formula>
    </cfRule>
  </conditionalFormatting>
  <conditionalFormatting sqref="BA24:BD24">
    <cfRule type="expression" dxfId="129" priority="93">
      <formula>AND(((COUNTIF(BA8:BA23,"O")+COUNTIF(BA8:BA23,"L")+COUNTIF(BA8:BA23,"H1")+COUNTIF(BA8:BA23,"H2")+COUNTIF(BA8:BA23,"OY")+COUNTIF(BA8:BA23,"M")+COUNTIF(BA8:BA23,"V")+COUNTIF(BA8:BA23,"P"))/13)&gt;=0,((COUNTIF(BA8:BA23,"O")+COUNTIF(BA8:BA23,"L")+COUNTIF(BA8:BA23,"H1")+COUNTIF(BA8:BA23,"H2")+COUNTIF(BA8:BA23,"OY")+COUNTIF(BA8:BA23,"M")+COUNTIF(BA8:BA23,"V")+COUNTIF(BA8:BA23,"P"))/13)&lt;=0.2)</formula>
    </cfRule>
    <cfRule type="expression" dxfId="128" priority="94">
      <formula>AND(((COUNTIF(BA8:BA23,"O")+COUNTIF(BA8:BA23,"L")+COUNTIF(BA8:BA23,"H1")+COUNTIF(BA8:BA23,"H2")+COUNTIF(BA8:BA23,"OY")+COUNTIF(BA8:BA23,"M")+COUNTIF(BA8:BA23,"V")+COUNTIF(BA8:BA23,"P"))/13)&gt;0.2,((COUNTIF(BA8:BA23,"O")+COUNTIF(BA8:BA23,"L")+COUNTIF(BA8:BA23,"H1")+COUNTIF(BA8:BA23,"H2")+COUNTIF(BA8:BA23,"OY")+COUNTIF(BA8:BA23,"M")+COUNTIF(BA8:BA23,"V")+COUNTIF(BA8:BA23,"P"))/13)&lt;=0.4)</formula>
    </cfRule>
    <cfRule type="expression" dxfId="127" priority="95">
      <formula>AND(((COUNTIF(BA8:BA23,"O")+COUNTIF(BA8:BA23,"L")+COUNTIF(BA8:BA23,"H1")+COUNTIF(BA8:BA23,"H2")+COUNTIF(BA8:BA23,"OY")+COUNTIF(BA8:BA23,"M")+COUNTIF(BA8:BA23,"V")+COUNTIF(BA8:BA23,"P"))/13)&gt;=0.4,((COUNTIF(BA8:BA23,"O")+COUNTIF(BA8:BA23,"L")+COUNTIF(BA8:BA23,"H1")+COUNTIF(BA8:BA23,"H2")+COUNTIF(BA8:BA23,"OY")+COUNTIF(BA8:BA23,"M")+COUNTIF(BA8:BA23,"V")+COUNTIF(BA8:BA23,"P"))/13)&lt;=1)</formula>
    </cfRule>
  </conditionalFormatting>
  <conditionalFormatting sqref="BG24:BK24">
    <cfRule type="expression" dxfId="126" priority="86" stopIfTrue="1">
      <formula>AND(BG$7&lt;&gt;"",VLOOKUP(BG$8,$NX$23:$NY$29,2,0)&lt;&gt;"Yes")</formula>
    </cfRule>
    <cfRule type="expression" dxfId="125" priority="87" stopIfTrue="1">
      <formula>ISNUMBER(MATCH(DATE($B$4,$B$3+$B$5-1,BG$7),HolidayListNamedRange,0))</formula>
    </cfRule>
  </conditionalFormatting>
  <conditionalFormatting sqref="BG24:BK24">
    <cfRule type="expression" dxfId="124" priority="88">
      <formula>AND(((COUNTIF(BG8:BG23,"O")+COUNTIF(BG8:BG23,"L")+COUNTIF(BG8:BG23,"H1")+COUNTIF(BG8:BG23,"H2")+COUNTIF(BG8:BG23,"OY")+COUNTIF(BG8:BG23,"M")+COUNTIF(BG8:BG23,"V")+COUNTIF(BG8:BG23,"P"))/13)&gt;=0,((COUNTIF(BG8:BG23,"O")+COUNTIF(BG8:BG23,"L")+COUNTIF(BG8:BG23,"H1")+COUNTIF(BG8:BG23,"H2")+COUNTIF(BG8:BG23,"OY")+COUNTIF(BG8:BG23,"M")+COUNTIF(BG8:BG23,"V")+COUNTIF(BG8:BG23,"P"))/13)&lt;=0.2)</formula>
    </cfRule>
    <cfRule type="expression" dxfId="123" priority="89">
      <formula>AND(((COUNTIF(BG8:BG23,"O")+COUNTIF(BG8:BG23,"L")+COUNTIF(BG8:BG23,"H1")+COUNTIF(BG8:BG23,"H2")+COUNTIF(BG8:BG23,"OY")+COUNTIF(BG8:BG23,"M")+COUNTIF(BG8:BG23,"V")+COUNTIF(BG8:BG23,"P"))/13)&gt;0.2,((COUNTIF(BG8:BG23,"O")+COUNTIF(BG8:BG23,"L")+COUNTIF(BG8:BG23,"H1")+COUNTIF(BG8:BG23,"H2")+COUNTIF(BG8:BG23,"OY")+COUNTIF(BG8:BG23,"M")+COUNTIF(BG8:BG23,"V")+COUNTIF(BG8:BG23,"P"))/13)&lt;=0.4)</formula>
    </cfRule>
    <cfRule type="expression" dxfId="122" priority="90">
      <formula>AND(((COUNTIF(BG8:BG23,"O")+COUNTIF(BG8:BG23,"L")+COUNTIF(BG8:BG23,"H1")+COUNTIF(BG8:BG23,"H2")+COUNTIF(BG8:BG23,"OY")+COUNTIF(BG8:BG23,"M")+COUNTIF(BG8:BG23,"V")+COUNTIF(BG8:BG23,"P"))/13)&gt;=0.4,((COUNTIF(BG8:BG23,"O")+COUNTIF(BG8:BG23,"L")+COUNTIF(BG8:BG23,"H1")+COUNTIF(BG8:BG23,"H2")+COUNTIF(BG8:BG23,"OY")+COUNTIF(BG8:BG23,"M")+COUNTIF(BG8:BG23,"V")+COUNTIF(BG8:BG23,"P"))/13)&lt;=1)</formula>
    </cfRule>
  </conditionalFormatting>
  <conditionalFormatting sqref="AG39:AI39">
    <cfRule type="expression" dxfId="121" priority="81" stopIfTrue="1">
      <formula>AND(AG$7&lt;&gt;"",VLOOKUP(AG$8,$NX$23:$NY$29,2,0)&lt;&gt;"Yes")</formula>
    </cfRule>
    <cfRule type="expression" dxfId="120" priority="82" stopIfTrue="1">
      <formula>ISNUMBER(MATCH(DATE($B$4,$B$3+$B$5-1,AG$7),HolidayListNamedRange,0))</formula>
    </cfRule>
  </conditionalFormatting>
  <conditionalFormatting sqref="AG39:AI39">
    <cfRule type="expression" dxfId="119" priority="83">
      <formula>AND(((COUNTIF(AG23:AG38,"O")+COUNTIF(AG23:AG38,"L")+COUNTIF(AG23:AG38,"H1")+COUNTIF(AG23:AG38,"H2")+COUNTIF(AG23:AG38,"OY")+COUNTIF(AG23:AG38,"M")+COUNTIF(AG23:AG38,"V")+COUNTIF(AG23:AG38,"P"))/13)&gt;=0,((COUNTIF(AG23:AG38,"O")+COUNTIF(AG23:AG38,"L")+COUNTIF(AG23:AG38,"H1")+COUNTIF(AG23:AG38,"H2")+COUNTIF(AG23:AG38,"OY")+COUNTIF(AG23:AG38,"M")+COUNTIF(AG23:AG38,"V")+COUNTIF(AG23:AG38,"P"))/13)&lt;=0.2)</formula>
    </cfRule>
    <cfRule type="expression" dxfId="118" priority="84">
      <formula>AND(((COUNTIF(AG23:AG38,"O")+COUNTIF(AG23:AG38,"L")+COUNTIF(AG23:AG38,"H1")+COUNTIF(AG23:AG38,"H2")+COUNTIF(AG23:AG38,"OY")+COUNTIF(AG23:AG38,"M")+COUNTIF(AG23:AG38,"V")+COUNTIF(AG23:AG38,"P"))/13)&gt;0.2,((COUNTIF(AG23:AG38,"O")+COUNTIF(AG23:AG38,"L")+COUNTIF(AG23:AG38,"H1")+COUNTIF(AG23:AG38,"H2")+COUNTIF(AG23:AG38,"OY")+COUNTIF(AG23:AG38,"M")+COUNTIF(AG23:AG38,"V")+COUNTIF(AG23:AG38,"P"))/13)&lt;=0.4)</formula>
    </cfRule>
    <cfRule type="expression" dxfId="117" priority="85">
      <formula>AND(((COUNTIF(AG23:AG38,"O")+COUNTIF(AG23:AG38,"L")+COUNTIF(AG23:AG38,"H1")+COUNTIF(AG23:AG38,"H2")+COUNTIF(AG23:AG38,"OY")+COUNTIF(AG23:AG38,"M")+COUNTIF(AG23:AG38,"V")+COUNTIF(AG23:AG38,"P"))/13)&gt;=0.4,((COUNTIF(AG23:AG38,"O")+COUNTIF(AG23:AG38,"L")+COUNTIF(AG23:AG38,"H1")+COUNTIF(AG23:AG38,"H2")+COUNTIF(AG23:AG38,"OY")+COUNTIF(AG23:AG38,"M")+COUNTIF(AG23:AG38,"V")+COUNTIF(AG23:AG38,"P"))/13)&lt;=1)</formula>
    </cfRule>
  </conditionalFormatting>
  <conditionalFormatting sqref="AL39:AP39">
    <cfRule type="expression" dxfId="116" priority="76" stopIfTrue="1">
      <formula>AND(AL$7&lt;&gt;"",VLOOKUP(AL$8,$NX$23:$NY$29,2,0)&lt;&gt;"Yes")</formula>
    </cfRule>
    <cfRule type="expression" dxfId="115" priority="77" stopIfTrue="1">
      <formula>ISNUMBER(MATCH(DATE($B$4,$B$3+$B$5-1,AL$7),HolidayListNamedRange,0))</formula>
    </cfRule>
  </conditionalFormatting>
  <conditionalFormatting sqref="AL39:AP39">
    <cfRule type="expression" dxfId="114" priority="78">
      <formula>AND(((COUNTIF(AL23:AL38,"O")+COUNTIF(AL23:AL38,"L")+COUNTIF(AL23:AL38,"H1")+COUNTIF(AL23:AL38,"H2")+COUNTIF(AL23:AL38,"OY")+COUNTIF(AL23:AL38,"M")+COUNTIF(AL23:AL38,"V")+COUNTIF(AL23:AL38,"P"))/13)&gt;=0,((COUNTIF(AL23:AL38,"O")+COUNTIF(AL23:AL38,"L")+COUNTIF(AL23:AL38,"H1")+COUNTIF(AL23:AL38,"H2")+COUNTIF(AL23:AL38,"OY")+COUNTIF(AL23:AL38,"M")+COUNTIF(AL23:AL38,"V")+COUNTIF(AL23:AL38,"P"))/13)&lt;=0.2)</formula>
    </cfRule>
    <cfRule type="expression" dxfId="113" priority="79">
      <formula>AND(((COUNTIF(AL23:AL38,"O")+COUNTIF(AL23:AL38,"L")+COUNTIF(AL23:AL38,"H1")+COUNTIF(AL23:AL38,"H2")+COUNTIF(AL23:AL38,"OY")+COUNTIF(AL23:AL38,"M")+COUNTIF(AL23:AL38,"V")+COUNTIF(AL23:AL38,"P"))/13)&gt;0.2,((COUNTIF(AL23:AL38,"O")+COUNTIF(AL23:AL38,"L")+COUNTIF(AL23:AL38,"H1")+COUNTIF(AL23:AL38,"H2")+COUNTIF(AL23:AL38,"OY")+COUNTIF(AL23:AL38,"M")+COUNTIF(AL23:AL38,"V")+COUNTIF(AL23:AL38,"P"))/13)&lt;=0.4)</formula>
    </cfRule>
    <cfRule type="expression" dxfId="112" priority="80">
      <formula>AND(((COUNTIF(AL23:AL38,"O")+COUNTIF(AL23:AL38,"L")+COUNTIF(AL23:AL38,"H1")+COUNTIF(AL23:AL38,"H2")+COUNTIF(AL23:AL38,"OY")+COUNTIF(AL23:AL38,"M")+COUNTIF(AL23:AL38,"V")+COUNTIF(AL23:AL38,"P"))/13)&gt;=0.4,((COUNTIF(AL23:AL38,"O")+COUNTIF(AL23:AL38,"L")+COUNTIF(AL23:AL38,"H1")+COUNTIF(AL23:AL38,"H2")+COUNTIF(AL23:AL38,"OY")+COUNTIF(AL23:AL38,"M")+COUNTIF(AL23:AL38,"V")+COUNTIF(AL23:AL38,"P"))/13)&lt;=1)</formula>
    </cfRule>
  </conditionalFormatting>
  <conditionalFormatting sqref="AS39:AW39">
    <cfRule type="expression" dxfId="111" priority="71" stopIfTrue="1">
      <formula>AND(AS$7&lt;&gt;"",VLOOKUP(AS$8,$NX$23:$NY$29,2,0)&lt;&gt;"Yes")</formula>
    </cfRule>
    <cfRule type="expression" dxfId="110" priority="72" stopIfTrue="1">
      <formula>ISNUMBER(MATCH(DATE($B$4,$B$3+$B$5-1,AS$7),HolidayListNamedRange,0))</formula>
    </cfRule>
  </conditionalFormatting>
  <conditionalFormatting sqref="AS39:AW39">
    <cfRule type="expression" dxfId="109" priority="73">
      <formula>AND(((COUNTIF(AS23:AS38,"O")+COUNTIF(AS23:AS38,"L")+COUNTIF(AS23:AS38,"H1")+COUNTIF(AS23:AS38,"H2")+COUNTIF(AS23:AS38,"OY")+COUNTIF(AS23:AS38,"M")+COUNTIF(AS23:AS38,"V")+COUNTIF(AS23:AS38,"P"))/13)&gt;=0,((COUNTIF(AS23:AS38,"O")+COUNTIF(AS23:AS38,"L")+COUNTIF(AS23:AS38,"H1")+COUNTIF(AS23:AS38,"H2")+COUNTIF(AS23:AS38,"OY")+COUNTIF(AS23:AS38,"M")+COUNTIF(AS23:AS38,"V")+COUNTIF(AS23:AS38,"P"))/13)&lt;=0.2)</formula>
    </cfRule>
    <cfRule type="expression" dxfId="108" priority="74">
      <formula>AND(((COUNTIF(AS23:AS38,"O")+COUNTIF(AS23:AS38,"L")+COUNTIF(AS23:AS38,"H1")+COUNTIF(AS23:AS38,"H2")+COUNTIF(AS23:AS38,"OY")+COUNTIF(AS23:AS38,"M")+COUNTIF(AS23:AS38,"V")+COUNTIF(AS23:AS38,"P"))/13)&gt;0.2,((COUNTIF(AS23:AS38,"O")+COUNTIF(AS23:AS38,"L")+COUNTIF(AS23:AS38,"H1")+COUNTIF(AS23:AS38,"H2")+COUNTIF(AS23:AS38,"OY")+COUNTIF(AS23:AS38,"M")+COUNTIF(AS23:AS38,"V")+COUNTIF(AS23:AS38,"P"))/13)&lt;=0.4)</formula>
    </cfRule>
    <cfRule type="expression" dxfId="107" priority="75">
      <formula>AND(((COUNTIF(AS23:AS38,"O")+COUNTIF(AS23:AS38,"L")+COUNTIF(AS23:AS38,"H1")+COUNTIF(AS23:AS38,"H2")+COUNTIF(AS23:AS38,"OY")+COUNTIF(AS23:AS38,"M")+COUNTIF(AS23:AS38,"V")+COUNTIF(AS23:AS38,"P"))/13)&gt;=0.4,((COUNTIF(AS23:AS38,"O")+COUNTIF(AS23:AS38,"L")+COUNTIF(AS23:AS38,"H1")+COUNTIF(AS23:AS38,"H2")+COUNTIF(AS23:AS38,"OY")+COUNTIF(AS23:AS38,"M")+COUNTIF(AS23:AS38,"V")+COUNTIF(AS23:AS38,"P"))/13)&lt;=1)</formula>
    </cfRule>
  </conditionalFormatting>
  <conditionalFormatting sqref="BA39:BD39">
    <cfRule type="expression" dxfId="106" priority="66" stopIfTrue="1">
      <formula>AND(BA$7&lt;&gt;"",VLOOKUP(BA$8,$NX$23:$NY$29,2,0)&lt;&gt;"Yes")</formula>
    </cfRule>
    <cfRule type="expression" dxfId="105" priority="67" stopIfTrue="1">
      <formula>ISNUMBER(MATCH(DATE($B$4,$B$3+$B$5-1,BA$7),HolidayListNamedRange,0))</formula>
    </cfRule>
  </conditionalFormatting>
  <conditionalFormatting sqref="BA39:BD39">
    <cfRule type="expression" dxfId="104" priority="68">
      <formula>AND(((COUNTIF(BA23:BA38,"O")+COUNTIF(BA23:BA38,"L")+COUNTIF(BA23:BA38,"H1")+COUNTIF(BA23:BA38,"H2")+COUNTIF(BA23:BA38,"OY")+COUNTIF(BA23:BA38,"M")+COUNTIF(BA23:BA38,"V")+COUNTIF(BA23:BA38,"P"))/13)&gt;=0,((COUNTIF(BA23:BA38,"O")+COUNTIF(BA23:BA38,"L")+COUNTIF(BA23:BA38,"H1")+COUNTIF(BA23:BA38,"H2")+COUNTIF(BA23:BA38,"OY")+COUNTIF(BA23:BA38,"M")+COUNTIF(BA23:BA38,"V")+COUNTIF(BA23:BA38,"P"))/13)&lt;=0.2)</formula>
    </cfRule>
    <cfRule type="expression" dxfId="103" priority="69">
      <formula>AND(((COUNTIF(BA23:BA38,"O")+COUNTIF(BA23:BA38,"L")+COUNTIF(BA23:BA38,"H1")+COUNTIF(BA23:BA38,"H2")+COUNTIF(BA23:BA38,"OY")+COUNTIF(BA23:BA38,"M")+COUNTIF(BA23:BA38,"V")+COUNTIF(BA23:BA38,"P"))/13)&gt;0.2,((COUNTIF(BA23:BA38,"O")+COUNTIF(BA23:BA38,"L")+COUNTIF(BA23:BA38,"H1")+COUNTIF(BA23:BA38,"H2")+COUNTIF(BA23:BA38,"OY")+COUNTIF(BA23:BA38,"M")+COUNTIF(BA23:BA38,"V")+COUNTIF(BA23:BA38,"P"))/13)&lt;=0.4)</formula>
    </cfRule>
    <cfRule type="expression" dxfId="102" priority="70">
      <formula>AND(((COUNTIF(BA23:BA38,"O")+COUNTIF(BA23:BA38,"L")+COUNTIF(BA23:BA38,"H1")+COUNTIF(BA23:BA38,"H2")+COUNTIF(BA23:BA38,"OY")+COUNTIF(BA23:BA38,"M")+COUNTIF(BA23:BA38,"V")+COUNTIF(BA23:BA38,"P"))/13)&gt;=0.4,((COUNTIF(BA23:BA38,"O")+COUNTIF(BA23:BA38,"L")+COUNTIF(BA23:BA38,"H1")+COUNTIF(BA23:BA38,"H2")+COUNTIF(BA23:BA38,"OY")+COUNTIF(BA23:BA38,"M")+COUNTIF(BA23:BA38,"V")+COUNTIF(BA23:BA38,"P"))/13)&lt;=1)</formula>
    </cfRule>
  </conditionalFormatting>
  <conditionalFormatting sqref="BG39:BH39">
    <cfRule type="expression" dxfId="101" priority="61" stopIfTrue="1">
      <formula>AND(BG$7&lt;&gt;"",VLOOKUP(BG$8,$NX$23:$NY$29,2,0)&lt;&gt;"Yes")</formula>
    </cfRule>
    <cfRule type="expression" dxfId="100" priority="62" stopIfTrue="1">
      <formula>ISNUMBER(MATCH(DATE($B$4,$B$3+$B$5-1,BG$7),HolidayListNamedRange,0))</formula>
    </cfRule>
  </conditionalFormatting>
  <conditionalFormatting sqref="BG39:BH39">
    <cfRule type="expression" dxfId="99" priority="63">
      <formula>AND(((COUNTIF(BG23:BG38,"O")+COUNTIF(BG23:BG38,"L")+COUNTIF(BG23:BG38,"H1")+COUNTIF(BG23:BG38,"H2")+COUNTIF(BG23:BG38,"OY")+COUNTIF(BG23:BG38,"M")+COUNTIF(BG23:BG38,"V")+COUNTIF(BG23:BG38,"P"))/13)&gt;=0,((COUNTIF(BG23:BG38,"O")+COUNTIF(BG23:BG38,"L")+COUNTIF(BG23:BG38,"H1")+COUNTIF(BG23:BG38,"H2")+COUNTIF(BG23:BG38,"OY")+COUNTIF(BG23:BG38,"M")+COUNTIF(BG23:BG38,"V")+COUNTIF(BG23:BG38,"P"))/13)&lt;=0.2)</formula>
    </cfRule>
    <cfRule type="expression" dxfId="98" priority="64">
      <formula>AND(((COUNTIF(BG23:BG38,"O")+COUNTIF(BG23:BG38,"L")+COUNTIF(BG23:BG38,"H1")+COUNTIF(BG23:BG38,"H2")+COUNTIF(BG23:BG38,"OY")+COUNTIF(BG23:BG38,"M")+COUNTIF(BG23:BG38,"V")+COUNTIF(BG23:BG38,"P"))/13)&gt;0.2,((COUNTIF(BG23:BG38,"O")+COUNTIF(BG23:BG38,"L")+COUNTIF(BG23:BG38,"H1")+COUNTIF(BG23:BG38,"H2")+COUNTIF(BG23:BG38,"OY")+COUNTIF(BG23:BG38,"M")+COUNTIF(BG23:BG38,"V")+COUNTIF(BG23:BG38,"P"))/13)&lt;=0.4)</formula>
    </cfRule>
    <cfRule type="expression" dxfId="97" priority="65">
      <formula>AND(((COUNTIF(BG23:BG38,"O")+COUNTIF(BG23:BG38,"L")+COUNTIF(BG23:BG38,"H1")+COUNTIF(BG23:BG38,"H2")+COUNTIF(BG23:BG38,"OY")+COUNTIF(BG23:BG38,"M")+COUNTIF(BG23:BG38,"V")+COUNTIF(BG23:BG38,"P"))/13)&gt;=0.4,((COUNTIF(BG23:BG38,"O")+COUNTIF(BG23:BG38,"L")+COUNTIF(BG23:BG38,"H1")+COUNTIF(BG23:BG38,"H2")+COUNTIF(BG23:BG38,"OY")+COUNTIF(BG23:BG38,"M")+COUNTIF(BG23:BG38,"V")+COUNTIF(BG23:BG38,"P"))/13)&lt;=1)</formula>
    </cfRule>
  </conditionalFormatting>
  <conditionalFormatting sqref="BG14:BH14">
    <cfRule type="expression" dxfId="96" priority="31" stopIfTrue="1">
      <formula>AND(BG$7&lt;&gt;"",VLOOKUP(BG$8,$NX$23:$NY$29,2,0)&lt;&gt;"Yes")</formula>
    </cfRule>
    <cfRule type="expression" dxfId="95" priority="32" stopIfTrue="1">
      <formula>ISNUMBER(MATCH(DATE($B$4,$B$3+$B$5-1,BG$7),HolidayListNamedRange,0))</formula>
    </cfRule>
  </conditionalFormatting>
  <conditionalFormatting sqref="AG41:AI41">
    <cfRule type="expression" dxfId="94" priority="26" stopIfTrue="1">
      <formula>AND(AG$7&lt;&gt;"",VLOOKUP(AG$8,$NX$23:$NY$29,2,0)&lt;&gt;"Yes")</formula>
    </cfRule>
    <cfRule type="expression" dxfId="93" priority="27" stopIfTrue="1">
      <formula>ISNUMBER(MATCH(DATE($B$4,$B$3+$B$5-1,AG$7),HolidayListNamedRange,0))</formula>
    </cfRule>
  </conditionalFormatting>
  <conditionalFormatting sqref="AG41:AI41">
    <cfRule type="expression" dxfId="92" priority="28">
      <formula>AND(((COUNTIF(AG33:AG40,"O")+COUNTIF(AG33:AG40,"L")+COUNTIF(AG33:AG40,"H1")+COUNTIF(AG33:AG40,"H2")+COUNTIF(AG33:AG40,"OY")+COUNTIF(AG33:AG40,"M")+COUNTIF(AG33:AG40,"V")+COUNTIF(AG33:AG40,"P"))/13)&gt;=0,((COUNTIF(AG33:AG40,"O")+COUNTIF(AG33:AG40,"L")+COUNTIF(AG33:AG40,"H1")+COUNTIF(AG33:AG40,"H2")+COUNTIF(AG33:AG40,"OY")+COUNTIF(AG33:AG40,"M")+COUNTIF(AG33:AG40,"V")+COUNTIF(AG33:AG40,"P"))/13)&lt;=0.2)</formula>
    </cfRule>
    <cfRule type="expression" dxfId="91" priority="29">
      <formula>AND(((COUNTIF(AG33:AG40,"O")+COUNTIF(AG33:AG40,"L")+COUNTIF(AG33:AG40,"H1")+COUNTIF(AG33:AG40,"H2")+COUNTIF(AG33:AG40,"OY")+COUNTIF(AG33:AG40,"M")+COUNTIF(AG33:AG40,"V")+COUNTIF(AG33:AG40,"P"))/13)&gt;0.2,((COUNTIF(AG33:AG40,"O")+COUNTIF(AG33:AG40,"L")+COUNTIF(AG33:AG40,"H1")+COUNTIF(AG33:AG40,"H2")+COUNTIF(AG33:AG40,"OY")+COUNTIF(AG33:AG40,"M")+COUNTIF(AG33:AG40,"V")+COUNTIF(AG33:AG40,"P"))/13)&lt;=0.4)</formula>
    </cfRule>
    <cfRule type="expression" dxfId="90" priority="30">
      <formula>AND(((COUNTIF(AG33:AG40,"O")+COUNTIF(AG33:AG40,"L")+COUNTIF(AG33:AG40,"H1")+COUNTIF(AG33:AG40,"H2")+COUNTIF(AG33:AG40,"OY")+COUNTIF(AG33:AG40,"M")+COUNTIF(AG33:AG40,"V")+COUNTIF(AG33:AG40,"P"))/13)&gt;=0.4,((COUNTIF(AG33:AG40,"O")+COUNTIF(AG33:AG40,"L")+COUNTIF(AG33:AG40,"H1")+COUNTIF(AG33:AG40,"H2")+COUNTIF(AG33:AG40,"OY")+COUNTIF(AG33:AG40,"M")+COUNTIF(AG33:AG40,"V")+COUNTIF(AG33:AG40,"P"))/13)&lt;=1)</formula>
    </cfRule>
  </conditionalFormatting>
  <conditionalFormatting sqref="AL41:AP41">
    <cfRule type="expression" dxfId="89" priority="21" stopIfTrue="1">
      <formula>AND(AL$7&lt;&gt;"",VLOOKUP(AL$8,$NX$23:$NY$29,2,0)&lt;&gt;"Yes")</formula>
    </cfRule>
    <cfRule type="expression" dxfId="88" priority="22" stopIfTrue="1">
      <formula>ISNUMBER(MATCH(DATE($B$4,$B$3+$B$5-1,AL$7),HolidayListNamedRange,0))</formula>
    </cfRule>
  </conditionalFormatting>
  <conditionalFormatting sqref="AL41:AP41">
    <cfRule type="expression" dxfId="87" priority="23">
      <formula>AND(((COUNTIF(AL33:AL40,"O")+COUNTIF(AL33:AL40,"L")+COUNTIF(AL33:AL40,"H1")+COUNTIF(AL33:AL40,"H2")+COUNTIF(AL33:AL40,"OY")+COUNTIF(AL33:AL40,"M")+COUNTIF(AL33:AL40,"V")+COUNTIF(AL33:AL40,"P"))/13)&gt;=0,((COUNTIF(AL33:AL40,"O")+COUNTIF(AL33:AL40,"L")+COUNTIF(AL33:AL40,"H1")+COUNTIF(AL33:AL40,"H2")+COUNTIF(AL33:AL40,"OY")+COUNTIF(AL33:AL40,"M")+COUNTIF(AL33:AL40,"V")+COUNTIF(AL33:AL40,"P"))/13)&lt;=0.2)</formula>
    </cfRule>
    <cfRule type="expression" dxfId="86" priority="24">
      <formula>AND(((COUNTIF(AL33:AL40,"O")+COUNTIF(AL33:AL40,"L")+COUNTIF(AL33:AL40,"H1")+COUNTIF(AL33:AL40,"H2")+COUNTIF(AL33:AL40,"OY")+COUNTIF(AL33:AL40,"M")+COUNTIF(AL33:AL40,"V")+COUNTIF(AL33:AL40,"P"))/13)&gt;0.2,((COUNTIF(AL33:AL40,"O")+COUNTIF(AL33:AL40,"L")+COUNTIF(AL33:AL40,"H1")+COUNTIF(AL33:AL40,"H2")+COUNTIF(AL33:AL40,"OY")+COUNTIF(AL33:AL40,"M")+COUNTIF(AL33:AL40,"V")+COUNTIF(AL33:AL40,"P"))/13)&lt;=0.4)</formula>
    </cfRule>
    <cfRule type="expression" dxfId="85" priority="25">
      <formula>AND(((COUNTIF(AL33:AL40,"O")+COUNTIF(AL33:AL40,"L")+COUNTIF(AL33:AL40,"H1")+COUNTIF(AL33:AL40,"H2")+COUNTIF(AL33:AL40,"OY")+COUNTIF(AL33:AL40,"M")+COUNTIF(AL33:AL40,"V")+COUNTIF(AL33:AL40,"P"))/13)&gt;=0.4,((COUNTIF(AL33:AL40,"O")+COUNTIF(AL33:AL40,"L")+COUNTIF(AL33:AL40,"H1")+COUNTIF(AL33:AL40,"H2")+COUNTIF(AL33:AL40,"OY")+COUNTIF(AL33:AL40,"M")+COUNTIF(AL33:AL40,"V")+COUNTIF(AL33:AL40,"P"))/13)&lt;=1)</formula>
    </cfRule>
  </conditionalFormatting>
  <conditionalFormatting sqref="AS41:AW41">
    <cfRule type="expression" dxfId="84" priority="16" stopIfTrue="1">
      <formula>AND(AS$7&lt;&gt;"",VLOOKUP(AS$8,$NX$23:$NY$29,2,0)&lt;&gt;"Yes")</formula>
    </cfRule>
    <cfRule type="expression" dxfId="83" priority="17" stopIfTrue="1">
      <formula>ISNUMBER(MATCH(DATE($B$4,$B$3+$B$5-1,AS$7),HolidayListNamedRange,0))</formula>
    </cfRule>
  </conditionalFormatting>
  <conditionalFormatting sqref="AS41:AW41">
    <cfRule type="expression" dxfId="82" priority="18">
      <formula>AND(((COUNTIF(AS33:AS40,"O")+COUNTIF(AS33:AS40,"L")+COUNTIF(AS33:AS40,"H1")+COUNTIF(AS33:AS40,"H2")+COUNTIF(AS33:AS40,"OY")+COUNTIF(AS33:AS40,"M")+COUNTIF(AS33:AS40,"V")+COUNTIF(AS33:AS40,"P"))/13)&gt;=0,((COUNTIF(AS33:AS40,"O")+COUNTIF(AS33:AS40,"L")+COUNTIF(AS33:AS40,"H1")+COUNTIF(AS33:AS40,"H2")+COUNTIF(AS33:AS40,"OY")+COUNTIF(AS33:AS40,"M")+COUNTIF(AS33:AS40,"V")+COUNTIF(AS33:AS40,"P"))/13)&lt;=0.2)</formula>
    </cfRule>
    <cfRule type="expression" dxfId="81" priority="19">
      <formula>AND(((COUNTIF(AS33:AS40,"O")+COUNTIF(AS33:AS40,"L")+COUNTIF(AS33:AS40,"H1")+COUNTIF(AS33:AS40,"H2")+COUNTIF(AS33:AS40,"OY")+COUNTIF(AS33:AS40,"M")+COUNTIF(AS33:AS40,"V")+COUNTIF(AS33:AS40,"P"))/13)&gt;0.2,((COUNTIF(AS33:AS40,"O")+COUNTIF(AS33:AS40,"L")+COUNTIF(AS33:AS40,"H1")+COUNTIF(AS33:AS40,"H2")+COUNTIF(AS33:AS40,"OY")+COUNTIF(AS33:AS40,"M")+COUNTIF(AS33:AS40,"V")+COUNTIF(AS33:AS40,"P"))/13)&lt;=0.4)</formula>
    </cfRule>
    <cfRule type="expression" dxfId="80" priority="20">
      <formula>AND(((COUNTIF(AS33:AS40,"O")+COUNTIF(AS33:AS40,"L")+COUNTIF(AS33:AS40,"H1")+COUNTIF(AS33:AS40,"H2")+COUNTIF(AS33:AS40,"OY")+COUNTIF(AS33:AS40,"M")+COUNTIF(AS33:AS40,"V")+COUNTIF(AS33:AS40,"P"))/13)&gt;=0.4,((COUNTIF(AS33:AS40,"O")+COUNTIF(AS33:AS40,"L")+COUNTIF(AS33:AS40,"H1")+COUNTIF(AS33:AS40,"H2")+COUNTIF(AS33:AS40,"OY")+COUNTIF(AS33:AS40,"M")+COUNTIF(AS33:AS40,"V")+COUNTIF(AS33:AS40,"P"))/13)&lt;=1)</formula>
    </cfRule>
  </conditionalFormatting>
  <conditionalFormatting sqref="BB41:BD41">
    <cfRule type="expression" dxfId="79" priority="11" stopIfTrue="1">
      <formula>AND(BB$7&lt;&gt;"",VLOOKUP(BB$8,$NX$23:$NY$29,2,0)&lt;&gt;"Yes")</formula>
    </cfRule>
    <cfRule type="expression" dxfId="78" priority="12" stopIfTrue="1">
      <formula>ISNUMBER(MATCH(DATE($B$4,$B$3+$B$5-1,BB$7),HolidayListNamedRange,0))</formula>
    </cfRule>
  </conditionalFormatting>
  <conditionalFormatting sqref="BB41:BD41">
    <cfRule type="expression" dxfId="77" priority="13">
      <formula>AND(((COUNTIF(BB33:BB40,"O")+COUNTIF(BB33:BB40,"L")+COUNTIF(BB33:BB40,"H1")+COUNTIF(BB33:BB40,"H2")+COUNTIF(BB33:BB40,"OY")+COUNTIF(BB33:BB40,"M")+COUNTIF(BB33:BB40,"V")+COUNTIF(BB33:BB40,"P"))/13)&gt;=0,((COUNTIF(BB33:BB40,"O")+COUNTIF(BB33:BB40,"L")+COUNTIF(BB33:BB40,"H1")+COUNTIF(BB33:BB40,"H2")+COUNTIF(BB33:BB40,"OY")+COUNTIF(BB33:BB40,"M")+COUNTIF(BB33:BB40,"V")+COUNTIF(BB33:BB40,"P"))/13)&lt;=0.2)</formula>
    </cfRule>
    <cfRule type="expression" dxfId="76" priority="14">
      <formula>AND(((COUNTIF(BB33:BB40,"O")+COUNTIF(BB33:BB40,"L")+COUNTIF(BB33:BB40,"H1")+COUNTIF(BB33:BB40,"H2")+COUNTIF(BB33:BB40,"OY")+COUNTIF(BB33:BB40,"M")+COUNTIF(BB33:BB40,"V")+COUNTIF(BB33:BB40,"P"))/13)&gt;0.2,((COUNTIF(BB33:BB40,"O")+COUNTIF(BB33:BB40,"L")+COUNTIF(BB33:BB40,"H1")+COUNTIF(BB33:BB40,"H2")+COUNTIF(BB33:BB40,"OY")+COUNTIF(BB33:BB40,"M")+COUNTIF(BB33:BB40,"V")+COUNTIF(BB33:BB40,"P"))/13)&lt;=0.4)</formula>
    </cfRule>
    <cfRule type="expression" dxfId="75" priority="15">
      <formula>AND(((COUNTIF(BB33:BB40,"O")+COUNTIF(BB33:BB40,"L")+COUNTIF(BB33:BB40,"H1")+COUNTIF(BB33:BB40,"H2")+COUNTIF(BB33:BB40,"OY")+COUNTIF(BB33:BB40,"M")+COUNTIF(BB33:BB40,"V")+COUNTIF(BB33:BB40,"P"))/13)&gt;=0.4,((COUNTIF(BB33:BB40,"O")+COUNTIF(BB33:BB40,"L")+COUNTIF(BB33:BB40,"H1")+COUNTIF(BB33:BB40,"H2")+COUNTIF(BB33:BB40,"OY")+COUNTIF(BB33:BB40,"M")+COUNTIF(BB33:BB40,"V")+COUNTIF(BB33:BB40,"P"))/13)&lt;=1)</formula>
    </cfRule>
  </conditionalFormatting>
  <conditionalFormatting sqref="BA41">
    <cfRule type="expression" dxfId="74" priority="6" stopIfTrue="1">
      <formula>AND(BA$7&lt;&gt;"",VLOOKUP(BA$8,$NX$23:$NY$29,2,0)&lt;&gt;"Yes")</formula>
    </cfRule>
    <cfRule type="expression" dxfId="73" priority="7" stopIfTrue="1">
      <formula>ISNUMBER(MATCH(DATE($B$4,$B$3+$B$5-1,BA$7),HolidayListNamedRange,0))</formula>
    </cfRule>
  </conditionalFormatting>
  <conditionalFormatting sqref="BA41">
    <cfRule type="expression" dxfId="72" priority="8">
      <formula>AND(((COUNTIF(BA33:BA40,"O")+COUNTIF(BA33:BA40,"L")+COUNTIF(BA33:BA40,"H1")+COUNTIF(BA33:BA40,"H2")+COUNTIF(BA33:BA40,"OY")+COUNTIF(BA33:BA40,"M")+COUNTIF(BA33:BA40,"V")+COUNTIF(BA33:BA40,"P"))/13)&gt;=0,((COUNTIF(BA33:BA40,"O")+COUNTIF(BA33:BA40,"L")+COUNTIF(BA33:BA40,"H1")+COUNTIF(BA33:BA40,"H2")+COUNTIF(BA33:BA40,"OY")+COUNTIF(BA33:BA40,"M")+COUNTIF(BA33:BA40,"V")+COUNTIF(BA33:BA40,"P"))/13)&lt;=0.2)</formula>
    </cfRule>
    <cfRule type="expression" dxfId="71" priority="9">
      <formula>AND(((COUNTIF(BA33:BA40,"O")+COUNTIF(BA33:BA40,"L")+COUNTIF(BA33:BA40,"H1")+COUNTIF(BA33:BA40,"H2")+COUNTIF(BA33:BA40,"OY")+COUNTIF(BA33:BA40,"M")+COUNTIF(BA33:BA40,"V")+COUNTIF(BA33:BA40,"P"))/13)&gt;0.2,((COUNTIF(BA33:BA40,"O")+COUNTIF(BA33:BA40,"L")+COUNTIF(BA33:BA40,"H1")+COUNTIF(BA33:BA40,"H2")+COUNTIF(BA33:BA40,"OY")+COUNTIF(BA33:BA40,"M")+COUNTIF(BA33:BA40,"V")+COUNTIF(BA33:BA40,"P"))/13)&lt;=0.4)</formula>
    </cfRule>
    <cfRule type="expression" dxfId="70" priority="10">
      <formula>AND(((COUNTIF(BA33:BA40,"O")+COUNTIF(BA33:BA40,"L")+COUNTIF(BA33:BA40,"H1")+COUNTIF(BA33:BA40,"H2")+COUNTIF(BA33:BA40,"OY")+COUNTIF(BA33:BA40,"M")+COUNTIF(BA33:BA40,"V")+COUNTIF(BA33:BA40,"P"))/13)&gt;=0.4,((COUNTIF(BA33:BA40,"O")+COUNTIF(BA33:BA40,"L")+COUNTIF(BA33:BA40,"H1")+COUNTIF(BA33:BA40,"H2")+COUNTIF(BA33:BA40,"OY")+COUNTIF(BA33:BA40,"M")+COUNTIF(BA33:BA40,"V")+COUNTIF(BA33:BA40,"P"))/13)&lt;=1)</formula>
    </cfRule>
  </conditionalFormatting>
  <conditionalFormatting sqref="BG41:BH41">
    <cfRule type="expression" dxfId="69" priority="1" stopIfTrue="1">
      <formula>AND(BG$7&lt;&gt;"",VLOOKUP(BG$8,$NX$23:$NY$29,2,0)&lt;&gt;"Yes")</formula>
    </cfRule>
    <cfRule type="expression" dxfId="68" priority="2" stopIfTrue="1">
      <formula>ISNUMBER(MATCH(DATE($B$4,$B$3+$B$5-1,BG$7),HolidayListNamedRange,0))</formula>
    </cfRule>
  </conditionalFormatting>
  <conditionalFormatting sqref="BG41:BH41">
    <cfRule type="expression" dxfId="67" priority="3">
      <formula>AND(((COUNTIF(BG33:BG40,"O")+COUNTIF(BG33:BG40,"L")+COUNTIF(BG33:BG40,"H1")+COUNTIF(BG33:BG40,"H2")+COUNTIF(BG33:BG40,"OY")+COUNTIF(BG33:BG40,"M")+COUNTIF(BG33:BG40,"V")+COUNTIF(BG33:BG40,"P"))/13)&gt;=0,((COUNTIF(BG33:BG40,"O")+COUNTIF(BG33:BG40,"L")+COUNTIF(BG33:BG40,"H1")+COUNTIF(BG33:BG40,"H2")+COUNTIF(BG33:BG40,"OY")+COUNTIF(BG33:BG40,"M")+COUNTIF(BG33:BG40,"V")+COUNTIF(BG33:BG40,"P"))/13)&lt;=0.2)</formula>
    </cfRule>
    <cfRule type="expression" dxfId="66" priority="4">
      <formula>AND(((COUNTIF(BG33:BG40,"O")+COUNTIF(BG33:BG40,"L")+COUNTIF(BG33:BG40,"H1")+COUNTIF(BG33:BG40,"H2")+COUNTIF(BG33:BG40,"OY")+COUNTIF(BG33:BG40,"M")+COUNTIF(BG33:BG40,"V")+COUNTIF(BG33:BG40,"P"))/13)&gt;0.2,((COUNTIF(BG33:BG40,"O")+COUNTIF(BG33:BG40,"L")+COUNTIF(BG33:BG40,"H1")+COUNTIF(BG33:BG40,"H2")+COUNTIF(BG33:BG40,"OY")+COUNTIF(BG33:BG40,"M")+COUNTIF(BG33:BG40,"V")+COUNTIF(BG33:BG40,"P"))/13)&lt;=0.4)</formula>
    </cfRule>
    <cfRule type="expression" dxfId="65" priority="5">
      <formula>AND(((COUNTIF(BG33:BG40,"O")+COUNTIF(BG33:BG40,"L")+COUNTIF(BG33:BG40,"H1")+COUNTIF(BG33:BG40,"H2")+COUNTIF(BG33:BG40,"OY")+COUNTIF(BG33:BG40,"M")+COUNTIF(BG33:BG40,"V")+COUNTIF(BG33:BG40,"P"))/13)&gt;=0.4,((COUNTIF(BG33:BG40,"O")+COUNTIF(BG33:BG40,"L")+COUNTIF(BG33:BG40,"H1")+COUNTIF(BG33:BG40,"H2")+COUNTIF(BG33:BG40,"OY")+COUNTIF(BG33:BG40,"M")+COUNTIF(BG33:BG40,"V")+COUNTIF(BG33:BG40,"P"))/13)&lt;=1)</formula>
    </cfRule>
  </conditionalFormatting>
  <conditionalFormatting sqref="C8:NJ8">
    <cfRule type="expression" dxfId="64" priority="2187">
      <formula>IF(VLOOKUP(C8,$NX$28:$NY$41,2,0)="No",TRUE,FALSE)</formula>
    </cfRule>
  </conditionalFormatting>
  <conditionalFormatting sqref="BG14:BH14">
    <cfRule type="expression" dxfId="2" priority="3150">
      <formula>AND(((COUNTIF(BG13:BG1048538,"O")+COUNTIF(BG13:BG1048538,"L")+COUNTIF(BG13:BG1048538,"H1")+COUNTIF(BG13:BG1048538,"H2")+COUNTIF(BG13:BG1048538,"OY")+COUNTIF(BG13:BG1048538,"M")+COUNTIF(BG13:BG1048538,"V")+COUNTIF(BG13:BG1048538,"P"))/13)&gt;=0,((COUNTIF(BG13:BG1048538,"O")+COUNTIF(BG13:BG1048538,"L")+COUNTIF(BG13:BG1048538,"H1")+COUNTIF(BG13:BG1048538,"H2")+COUNTIF(BG13:BG1048538,"OY")+COUNTIF(BG13:BG1048538,"M")+COUNTIF(BG13:BG1048538,"V")+COUNTIF(BG13:BG1048538,"P"))/13)&lt;=0.2)</formula>
    </cfRule>
    <cfRule type="expression" dxfId="1" priority="3151">
      <formula>AND(((COUNTIF(BG13:BG1048538,"O")+COUNTIF(BG13:BG1048538,"L")+COUNTIF(BG13:BG1048538,"H1")+COUNTIF(BG13:BG1048538,"H2")+COUNTIF(BG13:BG1048538,"OY")+COUNTIF(BG13:BG1048538,"M")+COUNTIF(BG13:BG1048538,"V")+COUNTIF(BG13:BG1048538,"P"))/13)&gt;0.2,((COUNTIF(BG13:BG1048538,"O")+COUNTIF(BG13:BG1048538,"L")+COUNTIF(BG13:BG1048538,"H1")+COUNTIF(BG13:BG1048538,"H2")+COUNTIF(BG13:BG1048538,"OY")+COUNTIF(BG13:BG1048538,"M")+COUNTIF(BG13:BG1048538,"V")+COUNTIF(BG13:BG1048538,"P"))/13)&lt;=0.4)</formula>
    </cfRule>
    <cfRule type="expression" dxfId="0" priority="3152">
      <formula>AND(((COUNTIF(BG13:BG1048538,"O")+COUNTIF(BG13:BG1048538,"L")+COUNTIF(BG13:BG1048538,"H1")+COUNTIF(BG13:BG1048538,"H2")+COUNTIF(BG13:BG1048538,"OY")+COUNTIF(BG13:BG1048538,"M")+COUNTIF(BG13:BG1048538,"V")+COUNTIF(BG13:BG1048538,"P"))/13)&gt;=0.4,((COUNTIF(BG13:BG1048538,"O")+COUNTIF(BG13:BG1048538,"L")+COUNTIF(BG13:BG1048538,"H1")+COUNTIF(BG13:BG1048538,"H2")+COUNTIF(BG13:BG1048538,"OY")+COUNTIF(BG13:BG1048538,"M")+COUNTIF(BG13:BG1048538,"V")+COUNTIF(BG13:BG1048538,"P"))/13)&lt;=1)</formula>
    </cfRule>
  </conditionalFormatting>
  <dataValidations count="3">
    <dataValidation type="list" allowBlank="1" showInputMessage="1" showErrorMessage="1" sqref="B3" xr:uid="{00000000-0002-0000-0100-000001000000}">
      <formula1>"1,2,3,4,5,6,7,8,9,10,11,12"</formula1>
    </dataValidation>
    <dataValidation type="list" allowBlank="1" showInputMessage="1" showErrorMessage="1" sqref="NY28:NY41" xr:uid="{00000000-0002-0000-0100-000000000000}">
      <formula1>"Yes, No"</formula1>
    </dataValidation>
    <dataValidation type="custom" allowBlank="1" showErrorMessage="1" errorTitle="Not a Valid Date" error="This isn't a valid Date" sqref="C10:NJ45" xr:uid="{00000000-0002-0000-0100-000002000000}">
      <formula1>C$8&lt;&gt;""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aveTracker1"/>
  <dimension ref="A1:ACH77"/>
  <sheetViews>
    <sheetView showGridLines="0" showWhiteSpace="0" zoomScaleNormal="100" zoomScaleSheetLayoutView="100" workbookViewId="0">
      <pane xSplit="2" ySplit="9" topLeftCell="I30" activePane="bottomRight" state="frozen"/>
      <selection pane="topRight" activeCell="B1" sqref="B1"/>
      <selection pane="bottomLeft" activeCell="A8" sqref="A8"/>
      <selection pane="bottomRight" activeCell="A14" sqref="A14"/>
    </sheetView>
  </sheetViews>
  <sheetFormatPr defaultColWidth="8.81640625" defaultRowHeight="14.5" x14ac:dyDescent="0.35"/>
  <cols>
    <col min="2" max="2" width="31.1796875" bestFit="1" customWidth="1"/>
    <col min="3" max="3" width="4.1796875" customWidth="1"/>
    <col min="4" max="32" width="3.453125" customWidth="1"/>
    <col min="33" max="374" width="3.453125" hidden="1" customWidth="1"/>
    <col min="375" max="375" width="9.453125" customWidth="1"/>
    <col min="376" max="376" width="8.453125" customWidth="1"/>
    <col min="377" max="386" width="3.453125" customWidth="1"/>
    <col min="387" max="387" width="3" customWidth="1"/>
    <col min="388" max="388" width="14.453125" bestFit="1" customWidth="1"/>
    <col min="389" max="389" width="10.1796875" bestFit="1" customWidth="1"/>
  </cols>
  <sheetData>
    <row r="1" spans="1:762" ht="18.5" x14ac:dyDescent="0.45">
      <c r="B1" s="50"/>
    </row>
    <row r="2" spans="1:762" x14ac:dyDescent="0.35">
      <c r="B2" s="51" t="s">
        <v>47</v>
      </c>
    </row>
    <row r="3" spans="1:762" ht="15.5" hidden="1" x14ac:dyDescent="0.35">
      <c r="B3" s="10">
        <v>1</v>
      </c>
      <c r="C3" s="20"/>
    </row>
    <row r="4" spans="1:762" ht="15.5" hidden="1" x14ac:dyDescent="0.35">
      <c r="B4" s="10">
        <v>2024</v>
      </c>
      <c r="C4" s="20"/>
      <c r="E4" s="16" t="str">
        <f>TEXT(DATE(B4,B5,1),"mmmm yyyy")</f>
        <v>January 2024</v>
      </c>
    </row>
    <row r="5" spans="1:762" ht="41.25" customHeight="1" x14ac:dyDescent="0.35">
      <c r="B5" s="13">
        <v>1</v>
      </c>
      <c r="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A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A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B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B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C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C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D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D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E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E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F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F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G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G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H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H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I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I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J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J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K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K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L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L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K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L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M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N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O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P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Q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R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S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T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U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V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W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X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MY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MZ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NA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B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C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D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E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F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NG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0</v>
      </c>
      <c r="NH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I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J5" s="16" t="b">
        <f>AND(NOT(ISNUMBER(MATCH(DATE($B$4,INT((COLUMN()-1)/31.001)+$B$3,ROUNDUP(MOD(COLUMN()-1,31.001),0)),HolidayList[Date],0))),(VLOOKUP(VLOOKUP(WEEKDAY(DATE($B$4,INT((COLUMN()-1)/31.001)+$B$3,ROUNDUP(MOD(COLUMN()-1,31.001),0)),2),Sheet3!$D$1:$E$7,2,0),$NX$33:$NY$45,2,0)="Yes"))</f>
        <v>1</v>
      </c>
      <c r="NK5" s="3"/>
      <c r="NL5" s="3"/>
      <c r="NM5" s="3"/>
      <c r="NN5" s="3"/>
      <c r="NO5" s="3"/>
      <c r="NP5" s="3"/>
      <c r="NQ5" s="3"/>
      <c r="NR5" s="3"/>
      <c r="NS5" s="3"/>
      <c r="NW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  <c r="AAA5" s="3"/>
      <c r="AAB5" s="3"/>
      <c r="AAC5" s="3"/>
      <c r="AAD5" s="3"/>
      <c r="AAE5" s="3"/>
      <c r="AAF5" s="3"/>
      <c r="AAG5" s="3"/>
      <c r="AAH5" s="3"/>
      <c r="AAI5" s="3"/>
      <c r="AAJ5" s="3"/>
      <c r="AAK5" s="3"/>
      <c r="AAL5" s="3"/>
      <c r="AAM5" s="3"/>
      <c r="AAN5" s="3"/>
      <c r="AAO5" s="3"/>
      <c r="AAP5" s="3"/>
      <c r="AAQ5" s="3"/>
      <c r="AAR5" s="3"/>
      <c r="AAS5" s="3"/>
      <c r="AAT5" s="3"/>
      <c r="AAU5" s="3"/>
      <c r="AAV5" s="3"/>
      <c r="AAW5" s="3"/>
      <c r="AAX5" s="3"/>
      <c r="AAY5" s="3"/>
      <c r="AAZ5" s="3"/>
      <c r="ABA5" s="3"/>
      <c r="ABB5" s="3"/>
      <c r="ABC5" s="3"/>
      <c r="ABD5" s="3"/>
      <c r="ABE5" s="3"/>
      <c r="ABF5" s="3"/>
      <c r="ABG5" s="3"/>
      <c r="ABH5" s="3"/>
      <c r="ABI5" s="3"/>
      <c r="ABJ5" s="3"/>
      <c r="ABK5" s="3"/>
      <c r="ABL5" s="3"/>
      <c r="ABM5" s="3"/>
      <c r="ABN5" s="3"/>
      <c r="ABO5" s="3"/>
      <c r="ABP5" s="3"/>
      <c r="ABQ5" s="3"/>
      <c r="ABR5" s="3"/>
      <c r="ABS5" s="3"/>
      <c r="ABT5" s="3"/>
      <c r="ABU5" s="3"/>
      <c r="ABV5" s="3"/>
      <c r="ABW5" s="3"/>
      <c r="ABX5" s="3"/>
      <c r="ABY5" s="3"/>
      <c r="ABZ5" s="3"/>
      <c r="ACA5" s="3"/>
      <c r="ACB5" s="3"/>
      <c r="ACC5" s="3"/>
      <c r="ACD5" s="3"/>
      <c r="ACE5" s="3"/>
      <c r="ACF5" s="3"/>
      <c r="ACG5" s="3"/>
      <c r="ACH5" s="3"/>
    </row>
    <row r="6" spans="1:762" x14ac:dyDescent="0.35">
      <c r="B6" s="5"/>
      <c r="C6" s="16" t="b">
        <f>IFERROR(IF(AND(VLOOKUP(C8,$NX$33:$NY$45,2,0)="Yes",NOT(ISNUMBER(VLOOKUP(DATE($B$4,$B$5+$B$3-1,C7),HolidayList[Date],1,0)))),TRUE,FALSE),FALSE)</f>
        <v>1</v>
      </c>
      <c r="D6" s="16" t="b">
        <f>IFERROR(IF(AND(VLOOKUP(D8,$NX$33:$NY$45,2,0)="Yes",NOT(ISNUMBER(VLOOKUP(DATE($B$4,$B$5+$B$3-1,D7),HolidayList[Date],1,0)))),TRUE,FALSE),FALSE)</f>
        <v>1</v>
      </c>
      <c r="E6" s="16" t="b">
        <f>IFERROR(IF(AND(VLOOKUP(E8,$NX$33:$NY$45,2,0)="Yes",NOT(ISNUMBER(VLOOKUP(DATE($B$4,$B$5+$B$3-1,E7),HolidayList[Date],1,0)))),TRUE,FALSE),FALSE)</f>
        <v>1</v>
      </c>
      <c r="F6" s="16" t="b">
        <f>IFERROR(IF(AND(VLOOKUP(F8,$NX$33:$NY$45,2,0)="Yes",NOT(ISNUMBER(VLOOKUP(DATE($B$4,$B$5+$B$3-1,F7),HolidayList[Date],1,0)))),TRUE,FALSE),FALSE)</f>
        <v>1</v>
      </c>
      <c r="G6" s="16" t="b">
        <f>IFERROR(IF(AND(VLOOKUP(G8,$NX$33:$NY$45,2,0)="Yes",NOT(ISNUMBER(VLOOKUP(DATE($B$4,$B$5+$B$3-1,G7),HolidayList[Date],1,0)))),TRUE,FALSE),FALSE)</f>
        <v>0</v>
      </c>
      <c r="H6" s="16" t="b">
        <f>IFERROR(IF(AND(VLOOKUP(H8,$NX$33:$NY$45,2,0)="Yes",NOT(ISNUMBER(VLOOKUP(DATE($B$4,$B$5+$B$3-1,H7),HolidayList[Date],1,0)))),TRUE,FALSE),FALSE)</f>
        <v>0</v>
      </c>
      <c r="I6" s="16" t="b">
        <f>IFERROR(IF(AND(VLOOKUP(I8,$NX$33:$NY$45,2,0)="Yes",NOT(ISNUMBER(VLOOKUP(DATE($B$4,$B$5+$B$3-1,I7),HolidayList[Date],1,0)))),TRUE,FALSE),FALSE)</f>
        <v>1</v>
      </c>
      <c r="J6" s="16" t="b">
        <f>IFERROR(IF(AND(VLOOKUP(J8,$NX$33:$NY$45,2,0)="Yes",NOT(ISNUMBER(VLOOKUP(DATE($B$4,$B$5+$B$3-1,J7),HolidayList[Date],1,0)))),TRUE,FALSE),FALSE)</f>
        <v>1</v>
      </c>
      <c r="K6" s="16" t="b">
        <f>IFERROR(IF(AND(VLOOKUP(K8,$NX$33:$NY$45,2,0)="Yes",NOT(ISNUMBER(VLOOKUP(DATE($B$4,$B$5+$B$3-1,K7),HolidayList[Date],1,0)))),TRUE,FALSE),FALSE)</f>
        <v>1</v>
      </c>
      <c r="L6" s="16" t="b">
        <f>IFERROR(IF(AND(VLOOKUP(L8,$NX$33:$NY$45,2,0)="Yes",NOT(ISNUMBER(VLOOKUP(DATE($B$4,$B$5+$B$3-1,L7),HolidayList[Date],1,0)))),TRUE,FALSE),FALSE)</f>
        <v>1</v>
      </c>
      <c r="M6" s="16" t="b">
        <f>IFERROR(IF(AND(VLOOKUP(M8,$NX$33:$NY$45,2,0)="Yes",NOT(ISNUMBER(VLOOKUP(DATE($B$4,$B$5+$B$3-1,M7),HolidayList[Date],1,0)))),TRUE,FALSE),FALSE)</f>
        <v>1</v>
      </c>
      <c r="N6" s="16" t="b">
        <f>IFERROR(IF(AND(VLOOKUP(N8,$NX$33:$NY$45,2,0)="Yes",NOT(ISNUMBER(VLOOKUP(DATE($B$4,$B$5+$B$3-1,N7),HolidayList[Date],1,0)))),TRUE,FALSE),FALSE)</f>
        <v>0</v>
      </c>
      <c r="O6" s="16" t="b">
        <f>IFERROR(IF(AND(VLOOKUP(O8,$NX$33:$NY$45,2,0)="Yes",NOT(ISNUMBER(VLOOKUP(DATE($B$4,$B$5+$B$3-1,O7),HolidayList[Date],1,0)))),TRUE,FALSE),FALSE)</f>
        <v>0</v>
      </c>
      <c r="P6" s="16" t="b">
        <f>IFERROR(IF(AND(VLOOKUP(P8,$NX$33:$NY$45,2,0)="Yes",NOT(ISNUMBER(VLOOKUP(DATE($B$4,$B$5+$B$3-1,P7),HolidayList[Date],1,0)))),TRUE,FALSE),FALSE)</f>
        <v>1</v>
      </c>
      <c r="Q6" s="16" t="b">
        <f>IFERROR(IF(AND(VLOOKUP(Q8,$NX$33:$NY$45,2,0)="Yes",NOT(ISNUMBER(VLOOKUP(DATE($B$4,$B$5+$B$3-1,Q7),HolidayList[Date],1,0)))),TRUE,FALSE),FALSE)</f>
        <v>1</v>
      </c>
      <c r="R6" s="16" t="b">
        <f>IFERROR(IF(AND(VLOOKUP(R8,$NX$33:$NY$45,2,0)="Yes",NOT(ISNUMBER(VLOOKUP(DATE($B$4,$B$5+$B$3-1,R7),HolidayList[Date],1,0)))),TRUE,FALSE),FALSE)</f>
        <v>1</v>
      </c>
      <c r="S6" s="16" t="b">
        <f>IFERROR(IF(AND(VLOOKUP(S8,$NX$33:$NY$45,2,0)="Yes",NOT(ISNUMBER(VLOOKUP(DATE($B$4,$B$5+$B$3-1,S7),HolidayList[Date],1,0)))),TRUE,FALSE),FALSE)</f>
        <v>1</v>
      </c>
      <c r="T6" s="16" t="b">
        <f>IFERROR(IF(AND(VLOOKUP(T8,$NX$33:$NY$45,2,0)="Yes",NOT(ISNUMBER(VLOOKUP(DATE($B$4,$B$5+$B$3-1,T7),HolidayList[Date],1,0)))),TRUE,FALSE),FALSE)</f>
        <v>1</v>
      </c>
      <c r="U6" s="16" t="b">
        <f>IFERROR(IF(AND(VLOOKUP(U8,$NX$33:$NY$45,2,0)="Yes",NOT(ISNUMBER(VLOOKUP(DATE($B$4,$B$5+$B$3-1,U7),HolidayList[Date],1,0)))),TRUE,FALSE),FALSE)</f>
        <v>0</v>
      </c>
      <c r="V6" s="16" t="b">
        <f>IFERROR(IF(AND(VLOOKUP(V8,$NX$33:$NY$45,2,0)="Yes",NOT(ISNUMBER(VLOOKUP(DATE($B$4,$B$5+$B$3-1,V7),HolidayList[Date],1,0)))),TRUE,FALSE),FALSE)</f>
        <v>0</v>
      </c>
      <c r="W6" s="16" t="b">
        <f>IFERROR(IF(AND(VLOOKUP(W8,$NX$33:$NY$45,2,0)="Yes",NOT(ISNUMBER(VLOOKUP(DATE($B$4,$B$5+$B$3-1,W7),HolidayList[Date],1,0)))),TRUE,FALSE),FALSE)</f>
        <v>1</v>
      </c>
      <c r="X6" s="16" t="b">
        <f>IFERROR(IF(AND(VLOOKUP(X8,$NX$33:$NY$45,2,0)="Yes",NOT(ISNUMBER(VLOOKUP(DATE($B$4,$B$5+$B$3-1,X7),HolidayList[Date],1,0)))),TRUE,FALSE),FALSE)</f>
        <v>1</v>
      </c>
      <c r="Y6" s="16" t="b">
        <f>IFERROR(IF(AND(VLOOKUP(Y8,$NX$33:$NY$45,2,0)="Yes",NOT(ISNUMBER(VLOOKUP(DATE($B$4,$B$5+$B$3-1,Y7),HolidayList[Date],1,0)))),TRUE,FALSE),FALSE)</f>
        <v>1</v>
      </c>
      <c r="Z6" s="16" t="b">
        <f>IFERROR(IF(AND(VLOOKUP(Z8,$NX$33:$NY$45,2,0)="Yes",NOT(ISNUMBER(VLOOKUP(DATE($B$4,$B$5+$B$3-1,Z7),HolidayList[Date],1,0)))),TRUE,FALSE),FALSE)</f>
        <v>1</v>
      </c>
      <c r="AA6" s="16" t="b">
        <f>IFERROR(IF(AND(VLOOKUP(AA8,$NX$33:$NY$45,2,0)="Yes",NOT(ISNUMBER(VLOOKUP(DATE($B$4,$B$5+$B$3-1,AA7),HolidayList[Date],1,0)))),TRUE,FALSE),FALSE)</f>
        <v>1</v>
      </c>
      <c r="AB6" s="16" t="b">
        <f>IFERROR(IF(AND(VLOOKUP(AB8,$NX$33:$NY$45,2,0)="Yes",NOT(ISNUMBER(VLOOKUP(DATE($B$4,$B$5+$B$3-1,AB7),HolidayList[Date],1,0)))),TRUE,FALSE),FALSE)</f>
        <v>0</v>
      </c>
      <c r="AC6" s="16" t="b">
        <f>IFERROR(IF(AND(VLOOKUP(AC8,$NX$33:$NY$45,2,0)="Yes",NOT(ISNUMBER(VLOOKUP(DATE($B$4,$B$5+$B$3-1,AC7),HolidayList[Date],1,0)))),TRUE,FALSE),FALSE)</f>
        <v>0</v>
      </c>
      <c r="AD6" s="16" t="b">
        <f>IFERROR(IF(AND(VLOOKUP(AD8,$NX$33:$NY$45,2,0)="Yes",NOT(ISNUMBER(VLOOKUP(DATE($B$4,$B$5+$B$3-1,AD7),HolidayList[Date],1,0)))),TRUE,FALSE),FALSE)</f>
        <v>1</v>
      </c>
      <c r="AE6" s="16" t="b">
        <f>IFERROR(IF(AND(VLOOKUP(AE8,$NX$33:$NY$45,2,0)="Yes",NOT(ISNUMBER(VLOOKUP(DATE($B$4,$B$5+$B$3-1,AE7),HolidayList[Date],1,0)))),TRUE,FALSE),FALSE)</f>
        <v>1</v>
      </c>
      <c r="AF6" s="16" t="b">
        <f>IFERROR(IF(AND(VLOOKUP(AF8,$NX$33:$NY$45,2,0)="Yes",NOT(ISNUMBER(VLOOKUP(DATE($B$4,$B$5+$B$3-1,AF7),HolidayList[Date],1,0)))),TRUE,FALSE),FALSE)</f>
        <v>1</v>
      </c>
      <c r="AG6" s="16" t="b">
        <f>IFERROR(IF(AND(VLOOKUP(AG8,$NX$33:$NY$45,2,0)="Yes",NOT(ISNUMBER(VLOOKUP(DATE($B$4,$B$5+$B$3-1,AG7),HolidayList[Date],1,0)))),TRUE,FALSE),FALSE)</f>
        <v>0</v>
      </c>
      <c r="AH6" s="16" t="b">
        <f>IFERROR(IF(AND(VLOOKUP(AH8,$NX$33:$NY$45,2,0)="Yes",NOT(ISNUMBER(VLOOKUP(DATE($B$4,$B$5+$B$3-1,AH7),HolidayList[Date],1,0)))),TRUE,FALSE),FALSE)</f>
        <v>0</v>
      </c>
      <c r="AI6" s="16" t="b">
        <f>IFERROR(IF(AND(VLOOKUP(AI8,$NX$33:$NY$45,2,0)="Yes",NOT(ISNUMBER(VLOOKUP(DATE($B$4,$B$5+$B$3-1,AI7),HolidayList[Date],1,0)))),TRUE,FALSE),FALSE)</f>
        <v>0</v>
      </c>
      <c r="AJ6" s="16" t="b">
        <f>IFERROR(IF(AND(VLOOKUP(AJ8,$NX$33:$NY$45,2,0)="Yes",NOT(ISNUMBER(VLOOKUP(DATE($B$4,$B$5+$B$3-1,AJ7),HolidayList[Date],1,0)))),TRUE,FALSE),FALSE)</f>
        <v>0</v>
      </c>
      <c r="AK6" s="16" t="b">
        <f>IFERROR(IF(AND(VLOOKUP(AK8,$NX$33:$NY$45,2,0)="Yes",NOT(ISNUMBER(VLOOKUP(DATE($B$4,$B$5+$B$3-1,AK7),HolidayList[Date],1,0)))),TRUE,FALSE),FALSE)</f>
        <v>0</v>
      </c>
      <c r="AL6" s="16" t="b">
        <f>IFERROR(IF(AND(VLOOKUP(AL8,$NX$33:$NY$45,2,0)="Yes",NOT(ISNUMBER(VLOOKUP(DATE($B$4,$B$5+$B$3-1,AL7),HolidayList[Date],1,0)))),TRUE,FALSE),FALSE)</f>
        <v>0</v>
      </c>
      <c r="AM6" s="16" t="b">
        <f>IFERROR(IF(AND(VLOOKUP(AM8,$NX$33:$NY$45,2,0)="Yes",NOT(ISNUMBER(VLOOKUP(DATE($B$4,$B$5+$B$3-1,AM7),HolidayList[Date],1,0)))),TRUE,FALSE),FALSE)</f>
        <v>0</v>
      </c>
      <c r="AN6" s="16" t="b">
        <f>IFERROR(IF(AND(VLOOKUP(AN8,$NX$33:$NY$45,2,0)="Yes",NOT(ISNUMBER(VLOOKUP(DATE($B$4,$B$5+$B$3-1,AN7),HolidayList[Date],1,0)))),TRUE,FALSE),FALSE)</f>
        <v>0</v>
      </c>
      <c r="AO6" s="16" t="b">
        <f>IFERROR(IF(AND(VLOOKUP(AO8,$NX$33:$NY$45,2,0)="Yes",NOT(ISNUMBER(VLOOKUP(DATE($B$4,$B$5+$B$3-1,AO7),HolidayList[Date],1,0)))),TRUE,FALSE),FALSE)</f>
        <v>0</v>
      </c>
      <c r="AP6" s="16" t="b">
        <f>IFERROR(IF(AND(VLOOKUP(AP8,$NX$33:$NY$45,2,0)="Yes",NOT(ISNUMBER(VLOOKUP(DATE($B$4,$B$5+$B$3-1,AP7),HolidayList[Date],1,0)))),TRUE,FALSE),FALSE)</f>
        <v>0</v>
      </c>
      <c r="AQ6" s="16" t="b">
        <f>IFERROR(IF(AND(VLOOKUP(AQ8,$NX$33:$NY$45,2,0)="Yes",NOT(ISNUMBER(VLOOKUP(DATE($B$4,$B$5+$B$3-1,AQ7),HolidayList[Date],1,0)))),TRUE,FALSE),FALSE)</f>
        <v>0</v>
      </c>
      <c r="AR6" s="16" t="b">
        <f>IFERROR(IF(AND(VLOOKUP(AR8,$NX$33:$NY$45,2,0)="Yes",NOT(ISNUMBER(VLOOKUP(DATE($B$4,$B$5+$B$3-1,AR7),HolidayList[Date],1,0)))),TRUE,FALSE),FALSE)</f>
        <v>0</v>
      </c>
      <c r="AS6" s="16" t="b">
        <f>IFERROR(IF(AND(VLOOKUP(AS8,$NX$33:$NY$45,2,0)="Yes",NOT(ISNUMBER(VLOOKUP(DATE($B$4,$B$5+$B$3-1,AS7),HolidayList[Date],1,0)))),TRUE,FALSE),FALSE)</f>
        <v>0</v>
      </c>
      <c r="AT6" s="16" t="b">
        <f>IFERROR(IF(AND(VLOOKUP(AT8,$NX$33:$NY$45,2,0)="Yes",NOT(ISNUMBER(VLOOKUP(DATE($B$4,$B$5+$B$3-1,AT7),HolidayList[Date],1,0)))),TRUE,FALSE),FALSE)</f>
        <v>0</v>
      </c>
      <c r="AU6" s="16" t="b">
        <f>IFERROR(IF(AND(VLOOKUP(AU8,$NX$33:$NY$45,2,0)="Yes",NOT(ISNUMBER(VLOOKUP(DATE($B$4,$B$5+$B$3-1,AU7),HolidayList[Date],1,0)))),TRUE,FALSE),FALSE)</f>
        <v>0</v>
      </c>
      <c r="AV6" s="16" t="b">
        <f>IFERROR(IF(AND(VLOOKUP(AV8,$NX$33:$NY$45,2,0)="Yes",NOT(ISNUMBER(VLOOKUP(DATE($B$4,$B$5+$B$3-1,AV7),HolidayList[Date],1,0)))),TRUE,FALSE),FALSE)</f>
        <v>0</v>
      </c>
      <c r="AW6" s="16" t="b">
        <f>IFERROR(IF(AND(VLOOKUP(AW8,$NX$33:$NY$45,2,0)="Yes",NOT(ISNUMBER(VLOOKUP(DATE($B$4,$B$5+$B$3-1,AW7),HolidayList[Date],1,0)))),TRUE,FALSE),FALSE)</f>
        <v>0</v>
      </c>
      <c r="AX6" s="16" t="b">
        <f>IFERROR(IF(AND(VLOOKUP(AX8,$NX$33:$NY$45,2,0)="Yes",NOT(ISNUMBER(VLOOKUP(DATE($B$4,$B$5+$B$3-1,AX7),HolidayList[Date],1,0)))),TRUE,FALSE),FALSE)</f>
        <v>0</v>
      </c>
      <c r="AY6" s="16" t="b">
        <f>IFERROR(IF(AND(VLOOKUP(AY8,$NX$33:$NY$45,2,0)="Yes",NOT(ISNUMBER(VLOOKUP(DATE($B$4,$B$5+$B$3-1,AY7),HolidayList[Date],1,0)))),TRUE,FALSE),FALSE)</f>
        <v>0</v>
      </c>
      <c r="AZ6" s="16" t="b">
        <f>IFERROR(IF(AND(VLOOKUP(AZ8,$NX$33:$NY$45,2,0)="Yes",NOT(ISNUMBER(VLOOKUP(DATE($B$4,$B$5+$B$3-1,AZ7),HolidayList[Date],1,0)))),TRUE,FALSE),FALSE)</f>
        <v>0</v>
      </c>
      <c r="BA6" s="16" t="b">
        <f>IFERROR(IF(AND(VLOOKUP(BA8,$NX$33:$NY$45,2,0)="Yes",NOT(ISNUMBER(VLOOKUP(DATE($B$4,$B$5+$B$3-1,BA7),HolidayList[Date],1,0)))),TRUE,FALSE),FALSE)</f>
        <v>0</v>
      </c>
      <c r="BB6" s="16" t="b">
        <f>IFERROR(IF(AND(VLOOKUP(BB8,$NX$33:$NY$45,2,0)="Yes",NOT(ISNUMBER(VLOOKUP(DATE($B$4,$B$5+$B$3-1,BB7),HolidayList[Date],1,0)))),TRUE,FALSE),FALSE)</f>
        <v>0</v>
      </c>
      <c r="BC6" s="16" t="b">
        <f>IFERROR(IF(AND(VLOOKUP(BC8,$NX$33:$NY$45,2,0)="Yes",NOT(ISNUMBER(VLOOKUP(DATE($B$4,$B$5+$B$3-1,BC7),HolidayList[Date],1,0)))),TRUE,FALSE),FALSE)</f>
        <v>0</v>
      </c>
      <c r="BD6" s="16" t="b">
        <f>IFERROR(IF(AND(VLOOKUP(BD8,$NX$33:$NY$45,2,0)="Yes",NOT(ISNUMBER(VLOOKUP(DATE($B$4,$B$5+$B$3-1,BD7),HolidayList[Date],1,0)))),TRUE,FALSE),FALSE)</f>
        <v>0</v>
      </c>
      <c r="BE6" s="16" t="b">
        <f>IFERROR(IF(AND(VLOOKUP(BE8,$NX$33:$NY$45,2,0)="Yes",NOT(ISNUMBER(VLOOKUP(DATE($B$4,$B$5+$B$3-1,BE7),HolidayList[Date],1,0)))),TRUE,FALSE),FALSE)</f>
        <v>0</v>
      </c>
      <c r="BF6" s="16" t="b">
        <f>IFERROR(IF(AND(VLOOKUP(BF8,$NX$33:$NY$45,2,0)="Yes",NOT(ISNUMBER(VLOOKUP(DATE($B$4,$B$5+$B$3-1,BF7),HolidayList[Date],1,0)))),TRUE,FALSE),FALSE)</f>
        <v>0</v>
      </c>
      <c r="BG6" s="16" t="b">
        <f>IFERROR(IF(AND(VLOOKUP(BG8,$NX$33:$NY$45,2,0)="Yes",NOT(ISNUMBER(VLOOKUP(DATE($B$4,$B$5+$B$3-1,BG7),HolidayList[Date],1,0)))),TRUE,FALSE),FALSE)</f>
        <v>0</v>
      </c>
      <c r="BH6" s="16" t="b">
        <f>IFERROR(IF(AND(VLOOKUP(BH8,$NX$33:$NY$45,2,0)="Yes",NOT(ISNUMBER(VLOOKUP(DATE($B$4,$B$5+$B$3-1,BH7),HolidayList[Date],1,0)))),TRUE,FALSE),FALSE)</f>
        <v>0</v>
      </c>
      <c r="BI6" s="16" t="b">
        <f>IFERROR(IF(AND(VLOOKUP(BI8,$NX$33:$NY$45,2,0)="Yes",NOT(ISNUMBER(VLOOKUP(DATE($B$4,$B$5+$B$3-1,BI7),HolidayList[Date],1,0)))),TRUE,FALSE),FALSE)</f>
        <v>0</v>
      </c>
      <c r="BJ6" s="16" t="b">
        <f>IFERROR(IF(AND(VLOOKUP(BJ8,$NX$33:$NY$45,2,0)="Yes",NOT(ISNUMBER(VLOOKUP(DATE($B$4,$B$5+$B$3-1,BJ7),HolidayList[Date],1,0)))),TRUE,FALSE),FALSE)</f>
        <v>0</v>
      </c>
      <c r="BK6" s="16" t="b">
        <f>IFERROR(IF(AND(VLOOKUP(BK8,$NX$33:$NY$45,2,0)="Yes",NOT(ISNUMBER(VLOOKUP(DATE($B$4,$B$5+$B$3-1,BK7),HolidayList[Date],1,0)))),TRUE,FALSE),FALSE)</f>
        <v>0</v>
      </c>
      <c r="BL6" s="16" t="b">
        <f>IFERROR(IF(AND(VLOOKUP(BL8,$NX$33:$NY$45,2,0)="Yes",NOT(ISNUMBER(VLOOKUP(DATE($B$4,$B$5+$B$3-1,BL7),HolidayList[Date],1,0)))),TRUE,FALSE),FALSE)</f>
        <v>0</v>
      </c>
      <c r="BM6" s="16" t="b">
        <f>IFERROR(IF(AND(VLOOKUP(BM8,$NX$33:$NY$45,2,0)="Yes",NOT(ISNUMBER(VLOOKUP(DATE($B$4,$B$5+$B$3-1,BM7),HolidayList[Date],1,0)))),TRUE,FALSE),FALSE)</f>
        <v>0</v>
      </c>
      <c r="BN6" s="16" t="b">
        <f>IFERROR(IF(AND(VLOOKUP(BN8,$NX$33:$NY$45,2,0)="Yes",NOT(ISNUMBER(VLOOKUP(DATE($B$4,$B$5+$B$3-1,BN7),HolidayList[Date],1,0)))),TRUE,FALSE),FALSE)</f>
        <v>0</v>
      </c>
      <c r="BO6" s="16" t="b">
        <f>IFERROR(IF(AND(VLOOKUP(BO8,$NX$33:$NY$45,2,0)="Yes",NOT(ISNUMBER(VLOOKUP(DATE($B$4,$B$5+$B$3-1,BO7),HolidayList[Date],1,0)))),TRUE,FALSE),FALSE)</f>
        <v>0</v>
      </c>
      <c r="BP6" s="16" t="b">
        <f>IFERROR(IF(AND(VLOOKUP(BP8,$NX$33:$NY$45,2,0)="Yes",NOT(ISNUMBER(VLOOKUP(DATE($B$4,$B$5+$B$3-1,BP7),HolidayList[Date],1,0)))),TRUE,FALSE),FALSE)</f>
        <v>0</v>
      </c>
      <c r="BQ6" s="16" t="b">
        <f>IFERROR(IF(AND(VLOOKUP(BQ8,$NX$33:$NY$45,2,0)="Yes",NOT(ISNUMBER(VLOOKUP(DATE($B$4,$B$5+$B$3-1,BQ7),HolidayList[Date],1,0)))),TRUE,FALSE),FALSE)</f>
        <v>0</v>
      </c>
      <c r="BR6" s="16" t="b">
        <f>IFERROR(IF(AND(VLOOKUP(BR8,$NX$33:$NY$45,2,0)="Yes",NOT(ISNUMBER(VLOOKUP(DATE($B$4,$B$5+$B$3-1,BR7),HolidayList[Date],1,0)))),TRUE,FALSE),FALSE)</f>
        <v>0</v>
      </c>
      <c r="BS6" s="16" t="b">
        <f>IFERROR(IF(AND(VLOOKUP(BS8,$NX$33:$NY$45,2,0)="Yes",NOT(ISNUMBER(VLOOKUP(DATE($B$4,$B$5+$B$3-1,BS7),HolidayList[Date],1,0)))),TRUE,FALSE),FALSE)</f>
        <v>0</v>
      </c>
      <c r="BT6" s="16" t="b">
        <f>IFERROR(IF(AND(VLOOKUP(BT8,$NX$33:$NY$45,2,0)="Yes",NOT(ISNUMBER(VLOOKUP(DATE($B$4,$B$5+$B$3-1,BT7),HolidayList[Date],1,0)))),TRUE,FALSE),FALSE)</f>
        <v>0</v>
      </c>
      <c r="BU6" s="16" t="b">
        <f>IFERROR(IF(AND(VLOOKUP(BU8,$NX$33:$NY$45,2,0)="Yes",NOT(ISNUMBER(VLOOKUP(DATE($B$4,$B$5+$B$3-1,BU7),HolidayList[Date],1,0)))),TRUE,FALSE),FALSE)</f>
        <v>0</v>
      </c>
      <c r="BV6" s="16" t="b">
        <f>IFERROR(IF(AND(VLOOKUP(BV8,$NX$33:$NY$45,2,0)="Yes",NOT(ISNUMBER(VLOOKUP(DATE($B$4,$B$5+$B$3-1,BV7),HolidayList[Date],1,0)))),TRUE,FALSE),FALSE)</f>
        <v>0</v>
      </c>
      <c r="BW6" s="16" t="b">
        <f>IFERROR(IF(AND(VLOOKUP(BW8,$NX$33:$NY$45,2,0)="Yes",NOT(ISNUMBER(VLOOKUP(DATE($B$4,$B$5+$B$3-1,BW7),HolidayList[Date],1,0)))),TRUE,FALSE),FALSE)</f>
        <v>0</v>
      </c>
      <c r="BX6" s="16" t="b">
        <f>IFERROR(IF(AND(VLOOKUP(BX8,$NX$33:$NY$45,2,0)="Yes",NOT(ISNUMBER(VLOOKUP(DATE($B$4,$B$5+$B$3-1,BX7),HolidayList[Date],1,0)))),TRUE,FALSE),FALSE)</f>
        <v>0</v>
      </c>
      <c r="BY6" s="16" t="b">
        <f>IFERROR(IF(AND(VLOOKUP(BY8,$NX$33:$NY$45,2,0)="Yes",NOT(ISNUMBER(VLOOKUP(DATE($B$4,$B$5+$B$3-1,BY7),HolidayList[Date],1,0)))),TRUE,FALSE),FALSE)</f>
        <v>0</v>
      </c>
      <c r="BZ6" s="16" t="b">
        <f>IFERROR(IF(AND(VLOOKUP(BZ8,$NX$33:$NY$45,2,0)="Yes",NOT(ISNUMBER(VLOOKUP(DATE($B$4,$B$5+$B$3-1,BZ7),HolidayList[Date],1,0)))),TRUE,FALSE),FALSE)</f>
        <v>0</v>
      </c>
      <c r="CA6" s="16" t="b">
        <f>IFERROR(IF(AND(VLOOKUP(CA8,$NX$33:$NY$45,2,0)="Yes",NOT(ISNUMBER(VLOOKUP(DATE($B$4,$B$5+$B$3-1,CA7),HolidayList[Date],1,0)))),TRUE,FALSE),FALSE)</f>
        <v>0</v>
      </c>
      <c r="CB6" s="16" t="b">
        <f>IFERROR(IF(AND(VLOOKUP(CB8,$NX$33:$NY$45,2,0)="Yes",NOT(ISNUMBER(VLOOKUP(DATE($B$4,$B$5+$B$3-1,CB7),HolidayList[Date],1,0)))),TRUE,FALSE),FALSE)</f>
        <v>0</v>
      </c>
      <c r="CC6" s="16" t="b">
        <f>IFERROR(IF(AND(VLOOKUP(CC8,$NX$33:$NY$45,2,0)="Yes",NOT(ISNUMBER(VLOOKUP(DATE($B$4,$B$5+$B$3-1,CC7),HolidayList[Date],1,0)))),TRUE,FALSE),FALSE)</f>
        <v>0</v>
      </c>
      <c r="CD6" s="16" t="b">
        <f>IFERROR(IF(AND(VLOOKUP(CD8,$NX$33:$NY$45,2,0)="Yes",NOT(ISNUMBER(VLOOKUP(DATE($B$4,$B$5+$B$3-1,CD7),HolidayList[Date],1,0)))),TRUE,FALSE),FALSE)</f>
        <v>0</v>
      </c>
      <c r="CE6" s="16" t="b">
        <f>IFERROR(IF(AND(VLOOKUP(CE8,$NX$33:$NY$45,2,0)="Yes",NOT(ISNUMBER(VLOOKUP(DATE($B$4,$B$5+$B$3-1,CE7),HolidayList[Date],1,0)))),TRUE,FALSE),FALSE)</f>
        <v>0</v>
      </c>
      <c r="CF6" s="16" t="b">
        <f>IFERROR(IF(AND(VLOOKUP(CF8,$NX$33:$NY$45,2,0)="Yes",NOT(ISNUMBER(VLOOKUP(DATE($B$4,$B$5+$B$3-1,CF7),HolidayList[Date],1,0)))),TRUE,FALSE),FALSE)</f>
        <v>0</v>
      </c>
      <c r="CG6" s="16" t="b">
        <f>IFERROR(IF(AND(VLOOKUP(CG8,$NX$33:$NY$45,2,0)="Yes",NOT(ISNUMBER(VLOOKUP(DATE($B$4,$B$5+$B$3-1,CG7),HolidayList[Date],1,0)))),TRUE,FALSE),FALSE)</f>
        <v>0</v>
      </c>
      <c r="CH6" s="16" t="b">
        <f>IFERROR(IF(AND(VLOOKUP(CH8,$NX$33:$NY$45,2,0)="Yes",NOT(ISNUMBER(VLOOKUP(DATE($B$4,$B$5+$B$3-1,CH7),HolidayList[Date],1,0)))),TRUE,FALSE),FALSE)</f>
        <v>0</v>
      </c>
      <c r="CI6" s="16" t="b">
        <f>IFERROR(IF(AND(VLOOKUP(CI8,$NX$33:$NY$45,2,0)="Yes",NOT(ISNUMBER(VLOOKUP(DATE($B$4,$B$5+$B$3-1,CI7),HolidayList[Date],1,0)))),TRUE,FALSE),FALSE)</f>
        <v>0</v>
      </c>
      <c r="CJ6" s="16" t="b">
        <f>IFERROR(IF(AND(VLOOKUP(CJ8,$NX$33:$NY$45,2,0)="Yes",NOT(ISNUMBER(VLOOKUP(DATE($B$4,$B$5+$B$3-1,CJ7),HolidayList[Date],1,0)))),TRUE,FALSE),FALSE)</f>
        <v>0</v>
      </c>
      <c r="CK6" s="16" t="b">
        <f>IFERROR(IF(AND(VLOOKUP(CK8,$NX$33:$NY$45,2,0)="Yes",NOT(ISNUMBER(VLOOKUP(DATE($B$4,$B$5+$B$3-1,CK7),HolidayList[Date],1,0)))),TRUE,FALSE),FALSE)</f>
        <v>0</v>
      </c>
      <c r="CL6" s="16" t="b">
        <f>IFERROR(IF(AND(VLOOKUP(CL8,$NX$33:$NY$45,2,0)="Yes",NOT(ISNUMBER(VLOOKUP(DATE($B$4,$B$5+$B$3-1,CL7),HolidayList[Date],1,0)))),TRUE,FALSE),FALSE)</f>
        <v>0</v>
      </c>
      <c r="CM6" s="16" t="b">
        <f>IFERROR(IF(AND(VLOOKUP(CM8,$NX$33:$NY$45,2,0)="Yes",NOT(ISNUMBER(VLOOKUP(DATE($B$4,$B$5+$B$3-1,CM7),HolidayList[Date],1,0)))),TRUE,FALSE),FALSE)</f>
        <v>0</v>
      </c>
      <c r="CN6" s="16" t="b">
        <f>IFERROR(IF(AND(VLOOKUP(CN8,$NX$33:$NY$45,2,0)="Yes",NOT(ISNUMBER(VLOOKUP(DATE($B$4,$B$5+$B$3-1,CN7),HolidayList[Date],1,0)))),TRUE,FALSE),FALSE)</f>
        <v>0</v>
      </c>
      <c r="CO6" s="16" t="b">
        <f>IFERROR(IF(AND(VLOOKUP(CO8,$NX$33:$NY$45,2,0)="Yes",NOT(ISNUMBER(VLOOKUP(DATE($B$4,$B$5+$B$3-1,CO7),HolidayList[Date],1,0)))),TRUE,FALSE),FALSE)</f>
        <v>0</v>
      </c>
      <c r="CP6" s="16" t="b">
        <f>IFERROR(IF(AND(VLOOKUP(CP8,$NX$33:$NY$45,2,0)="Yes",NOT(ISNUMBER(VLOOKUP(DATE($B$4,$B$5+$B$3-1,CP7),HolidayList[Date],1,0)))),TRUE,FALSE),FALSE)</f>
        <v>0</v>
      </c>
      <c r="CQ6" s="16" t="b">
        <f>IFERROR(IF(AND(VLOOKUP(CQ8,$NX$33:$NY$45,2,0)="Yes",NOT(ISNUMBER(VLOOKUP(DATE($B$4,$B$5+$B$3-1,CQ7),HolidayList[Date],1,0)))),TRUE,FALSE),FALSE)</f>
        <v>0</v>
      </c>
      <c r="CR6" s="16" t="b">
        <f>IFERROR(IF(AND(VLOOKUP(CR8,$NX$33:$NY$45,2,0)="Yes",NOT(ISNUMBER(VLOOKUP(DATE($B$4,$B$5+$B$3-1,CR7),HolidayList[Date],1,0)))),TRUE,FALSE),FALSE)</f>
        <v>0</v>
      </c>
      <c r="CS6" s="16" t="b">
        <f>IFERROR(IF(AND(VLOOKUP(CS8,$NX$33:$NY$45,2,0)="Yes",NOT(ISNUMBER(VLOOKUP(DATE($B$4,$B$5+$B$3-1,CS7),HolidayList[Date],1,0)))),TRUE,FALSE),FALSE)</f>
        <v>0</v>
      </c>
      <c r="CT6" s="16" t="b">
        <f>IFERROR(IF(AND(VLOOKUP(CT8,$NX$33:$NY$45,2,0)="Yes",NOT(ISNUMBER(VLOOKUP(DATE($B$4,$B$5+$B$3-1,CT7),HolidayList[Date],1,0)))),TRUE,FALSE),FALSE)</f>
        <v>0</v>
      </c>
      <c r="CU6" s="16" t="b">
        <f>IFERROR(IF(AND(VLOOKUP(CU8,$NX$33:$NY$45,2,0)="Yes",NOT(ISNUMBER(VLOOKUP(DATE($B$4,$B$5+$B$3-1,CU7),HolidayList[Date],1,0)))),TRUE,FALSE),FALSE)</f>
        <v>0</v>
      </c>
      <c r="CV6" s="16" t="b">
        <f>IFERROR(IF(AND(VLOOKUP(CV8,$NX$33:$NY$45,2,0)="Yes",NOT(ISNUMBER(VLOOKUP(DATE($B$4,$B$5+$B$3-1,CV7),HolidayList[Date],1,0)))),TRUE,FALSE),FALSE)</f>
        <v>0</v>
      </c>
      <c r="CW6" s="16" t="b">
        <f>IFERROR(IF(AND(VLOOKUP(CW8,$NX$33:$NY$45,2,0)="Yes",NOT(ISNUMBER(VLOOKUP(DATE($B$4,$B$5+$B$3-1,CW7),HolidayList[Date],1,0)))),TRUE,FALSE),FALSE)</f>
        <v>0</v>
      </c>
      <c r="CX6" s="16" t="b">
        <f>IFERROR(IF(AND(VLOOKUP(CX8,$NX$33:$NY$45,2,0)="Yes",NOT(ISNUMBER(VLOOKUP(DATE($B$4,$B$5+$B$3-1,CX7),HolidayList[Date],1,0)))),TRUE,FALSE),FALSE)</f>
        <v>0</v>
      </c>
      <c r="CY6" s="16" t="b">
        <f>IFERROR(IF(AND(VLOOKUP(CY8,$NX$33:$NY$45,2,0)="Yes",NOT(ISNUMBER(VLOOKUP(DATE($B$4,$B$5+$B$3-1,CY7),HolidayList[Date],1,0)))),TRUE,FALSE),FALSE)</f>
        <v>0</v>
      </c>
      <c r="CZ6" s="16" t="b">
        <f>IFERROR(IF(AND(VLOOKUP(CZ8,$NX$33:$NY$45,2,0)="Yes",NOT(ISNUMBER(VLOOKUP(DATE($B$4,$B$5+$B$3-1,CZ7),HolidayList[Date],1,0)))),TRUE,FALSE),FALSE)</f>
        <v>0</v>
      </c>
      <c r="DA6" s="16" t="b">
        <f>IFERROR(IF(AND(VLOOKUP(DA8,$NX$33:$NY$45,2,0)="Yes",NOT(ISNUMBER(VLOOKUP(DATE($B$4,$B$5+$B$3-1,DA7),HolidayList[Date],1,0)))),TRUE,FALSE),FALSE)</f>
        <v>0</v>
      </c>
      <c r="DB6" s="16" t="b">
        <f>IFERROR(IF(AND(VLOOKUP(DB8,$NX$33:$NY$45,2,0)="Yes",NOT(ISNUMBER(VLOOKUP(DATE($B$4,$B$5+$B$3-1,DB7),HolidayList[Date],1,0)))),TRUE,FALSE),FALSE)</f>
        <v>0</v>
      </c>
      <c r="DC6" s="16" t="b">
        <f>IFERROR(IF(AND(VLOOKUP(DC8,$NX$33:$NY$45,2,0)="Yes",NOT(ISNUMBER(VLOOKUP(DATE($B$4,$B$5+$B$3-1,DC7),HolidayList[Date],1,0)))),TRUE,FALSE),FALSE)</f>
        <v>0</v>
      </c>
      <c r="DD6" s="16" t="b">
        <f>IFERROR(IF(AND(VLOOKUP(DD8,$NX$33:$NY$45,2,0)="Yes",NOT(ISNUMBER(VLOOKUP(DATE($B$4,$B$5+$B$3-1,DD7),HolidayList[Date],1,0)))),TRUE,FALSE),FALSE)</f>
        <v>0</v>
      </c>
      <c r="DE6" s="16" t="b">
        <f>IFERROR(IF(AND(VLOOKUP(DE8,$NX$33:$NY$45,2,0)="Yes",NOT(ISNUMBER(VLOOKUP(DATE($B$4,$B$5+$B$3-1,DE7),HolidayList[Date],1,0)))),TRUE,FALSE),FALSE)</f>
        <v>0</v>
      </c>
      <c r="DF6" s="16" t="b">
        <f>IFERROR(IF(AND(VLOOKUP(DF8,$NX$33:$NY$45,2,0)="Yes",NOT(ISNUMBER(VLOOKUP(DATE($B$4,$B$5+$B$3-1,DF7),HolidayList[Date],1,0)))),TRUE,FALSE),FALSE)</f>
        <v>0</v>
      </c>
      <c r="DG6" s="16" t="b">
        <f>IFERROR(IF(AND(VLOOKUP(DG8,$NX$33:$NY$45,2,0)="Yes",NOT(ISNUMBER(VLOOKUP(DATE($B$4,$B$5+$B$3-1,DG7),HolidayList[Date],1,0)))),TRUE,FALSE),FALSE)</f>
        <v>0</v>
      </c>
      <c r="DH6" s="16" t="b">
        <f>IFERROR(IF(AND(VLOOKUP(DH8,$NX$33:$NY$45,2,0)="Yes",NOT(ISNUMBER(VLOOKUP(DATE($B$4,$B$5+$B$3-1,DH7),HolidayList[Date],1,0)))),TRUE,FALSE),FALSE)</f>
        <v>0</v>
      </c>
      <c r="DI6" s="16" t="b">
        <f>IFERROR(IF(AND(VLOOKUP(DI8,$NX$33:$NY$45,2,0)="Yes",NOT(ISNUMBER(VLOOKUP(DATE($B$4,$B$5+$B$3-1,DI7),HolidayList[Date],1,0)))),TRUE,FALSE),FALSE)</f>
        <v>0</v>
      </c>
      <c r="DJ6" s="16" t="b">
        <f>IFERROR(IF(AND(VLOOKUP(DJ8,$NX$33:$NY$45,2,0)="Yes",NOT(ISNUMBER(VLOOKUP(DATE($B$4,$B$5+$B$3-1,DJ7),HolidayList[Date],1,0)))),TRUE,FALSE),FALSE)</f>
        <v>0</v>
      </c>
      <c r="DK6" s="16" t="b">
        <f>IFERROR(IF(AND(VLOOKUP(DK8,$NX$33:$NY$45,2,0)="Yes",NOT(ISNUMBER(VLOOKUP(DATE($B$4,$B$5+$B$3-1,DK7),HolidayList[Date],1,0)))),TRUE,FALSE),FALSE)</f>
        <v>0</v>
      </c>
      <c r="DL6" s="16" t="b">
        <f>IFERROR(IF(AND(VLOOKUP(DL8,$NX$33:$NY$45,2,0)="Yes",NOT(ISNUMBER(VLOOKUP(DATE($B$4,$B$5+$B$3-1,DL7),HolidayList[Date],1,0)))),TRUE,FALSE),FALSE)</f>
        <v>0</v>
      </c>
      <c r="DM6" s="16" t="b">
        <f>IFERROR(IF(AND(VLOOKUP(DM8,$NX$33:$NY$45,2,0)="Yes",NOT(ISNUMBER(VLOOKUP(DATE($B$4,$B$5+$B$3-1,DM7),HolidayList[Date],1,0)))),TRUE,FALSE),FALSE)</f>
        <v>0</v>
      </c>
      <c r="DN6" s="16" t="b">
        <f>IFERROR(IF(AND(VLOOKUP(DN8,$NX$33:$NY$45,2,0)="Yes",NOT(ISNUMBER(VLOOKUP(DATE($B$4,$B$5+$B$3-1,DN7),HolidayList[Date],1,0)))),TRUE,FALSE),FALSE)</f>
        <v>0</v>
      </c>
      <c r="DO6" s="16" t="b">
        <f>IFERROR(IF(AND(VLOOKUP(DO8,$NX$33:$NY$45,2,0)="Yes",NOT(ISNUMBER(VLOOKUP(DATE($B$4,$B$5+$B$3-1,DO7),HolidayList[Date],1,0)))),TRUE,FALSE),FALSE)</f>
        <v>0</v>
      </c>
      <c r="DP6" s="16" t="b">
        <f>IFERROR(IF(AND(VLOOKUP(DP8,$NX$33:$NY$45,2,0)="Yes",NOT(ISNUMBER(VLOOKUP(DATE($B$4,$B$5+$B$3-1,DP7),HolidayList[Date],1,0)))),TRUE,FALSE),FALSE)</f>
        <v>0</v>
      </c>
      <c r="DQ6" s="16" t="b">
        <f>IFERROR(IF(AND(VLOOKUP(DQ8,$NX$33:$NY$45,2,0)="Yes",NOT(ISNUMBER(VLOOKUP(DATE($B$4,$B$5+$B$3-1,DQ7),HolidayList[Date],1,0)))),TRUE,FALSE),FALSE)</f>
        <v>0</v>
      </c>
      <c r="DR6" s="16" t="b">
        <f>IFERROR(IF(AND(VLOOKUP(DR8,$NX$33:$NY$45,2,0)="Yes",NOT(ISNUMBER(VLOOKUP(DATE($B$4,$B$5+$B$3-1,DR7),HolidayList[Date],1,0)))),TRUE,FALSE),FALSE)</f>
        <v>0</v>
      </c>
      <c r="DS6" s="16" t="b">
        <f>IFERROR(IF(AND(VLOOKUP(DS8,$NX$33:$NY$45,2,0)="Yes",NOT(ISNUMBER(VLOOKUP(DATE($B$4,$B$5+$B$3-1,DS7),HolidayList[Date],1,0)))),TRUE,FALSE),FALSE)</f>
        <v>0</v>
      </c>
      <c r="DT6" s="16" t="b">
        <f>IFERROR(IF(AND(VLOOKUP(DT8,$NX$33:$NY$45,2,0)="Yes",NOT(ISNUMBER(VLOOKUP(DATE($B$4,$B$5+$B$3-1,DT7),HolidayList[Date],1,0)))),TRUE,FALSE),FALSE)</f>
        <v>0</v>
      </c>
      <c r="DU6" s="16" t="b">
        <f>IFERROR(IF(AND(VLOOKUP(DU8,$NX$33:$NY$45,2,0)="Yes",NOT(ISNUMBER(VLOOKUP(DATE($B$4,$B$5+$B$3-1,DU7),HolidayList[Date],1,0)))),TRUE,FALSE),FALSE)</f>
        <v>0</v>
      </c>
      <c r="DV6" s="16" t="b">
        <f>IFERROR(IF(AND(VLOOKUP(DV8,$NX$33:$NY$45,2,0)="Yes",NOT(ISNUMBER(VLOOKUP(DATE($B$4,$B$5+$B$3-1,DV7),HolidayList[Date],1,0)))),TRUE,FALSE),FALSE)</f>
        <v>0</v>
      </c>
      <c r="DW6" s="16" t="b">
        <f>IFERROR(IF(AND(VLOOKUP(DW8,$NX$33:$NY$45,2,0)="Yes",NOT(ISNUMBER(VLOOKUP(DATE($B$4,$B$5+$B$3-1,DW7),HolidayList[Date],1,0)))),TRUE,FALSE),FALSE)</f>
        <v>0</v>
      </c>
      <c r="DX6" s="16" t="b">
        <f>IFERROR(IF(AND(VLOOKUP(DX8,$NX$33:$NY$45,2,0)="Yes",NOT(ISNUMBER(VLOOKUP(DATE($B$4,$B$5+$B$3-1,DX7),HolidayList[Date],1,0)))),TRUE,FALSE),FALSE)</f>
        <v>0</v>
      </c>
      <c r="DY6" s="16" t="b">
        <f>IFERROR(IF(AND(VLOOKUP(DY8,$NX$33:$NY$45,2,0)="Yes",NOT(ISNUMBER(VLOOKUP(DATE($B$4,$B$5+$B$3-1,DY7),HolidayList[Date],1,0)))),TRUE,FALSE),FALSE)</f>
        <v>0</v>
      </c>
      <c r="DZ6" s="16" t="b">
        <f>IFERROR(IF(AND(VLOOKUP(DZ8,$NX$33:$NY$45,2,0)="Yes",NOT(ISNUMBER(VLOOKUP(DATE($B$4,$B$5+$B$3-1,DZ7),HolidayList[Date],1,0)))),TRUE,FALSE),FALSE)</f>
        <v>0</v>
      </c>
      <c r="EA6" s="16" t="b">
        <f>IFERROR(IF(AND(VLOOKUP(EA8,$NX$33:$NY$45,2,0)="Yes",NOT(ISNUMBER(VLOOKUP(DATE($B$4,$B$5+$B$3-1,EA7),HolidayList[Date],1,0)))),TRUE,FALSE),FALSE)</f>
        <v>0</v>
      </c>
      <c r="EB6" s="16" t="b">
        <f>IFERROR(IF(AND(VLOOKUP(EB8,$NX$33:$NY$45,2,0)="Yes",NOT(ISNUMBER(VLOOKUP(DATE($B$4,$B$5+$B$3-1,EB7),HolidayList[Date],1,0)))),TRUE,FALSE),FALSE)</f>
        <v>0</v>
      </c>
      <c r="EC6" s="16" t="b">
        <f>IFERROR(IF(AND(VLOOKUP(EC8,$NX$33:$NY$45,2,0)="Yes",NOT(ISNUMBER(VLOOKUP(DATE($B$4,$B$5+$B$3-1,EC7),HolidayList[Date],1,0)))),TRUE,FALSE),FALSE)</f>
        <v>0</v>
      </c>
      <c r="ED6" s="16" t="b">
        <f>IFERROR(IF(AND(VLOOKUP(ED8,$NX$33:$NY$45,2,0)="Yes",NOT(ISNUMBER(VLOOKUP(DATE($B$4,$B$5+$B$3-1,ED7),HolidayList[Date],1,0)))),TRUE,FALSE),FALSE)</f>
        <v>0</v>
      </c>
      <c r="EE6" s="16" t="b">
        <f>IFERROR(IF(AND(VLOOKUP(EE8,$NX$33:$NY$45,2,0)="Yes",NOT(ISNUMBER(VLOOKUP(DATE($B$4,$B$5+$B$3-1,EE7),HolidayList[Date],1,0)))),TRUE,FALSE),FALSE)</f>
        <v>0</v>
      </c>
      <c r="EF6" s="16" t="b">
        <f>IFERROR(IF(AND(VLOOKUP(EF8,$NX$33:$NY$45,2,0)="Yes",NOT(ISNUMBER(VLOOKUP(DATE($B$4,$B$5+$B$3-1,EF7),HolidayList[Date],1,0)))),TRUE,FALSE),FALSE)</f>
        <v>0</v>
      </c>
      <c r="EG6" s="16" t="b">
        <f>IFERROR(IF(AND(VLOOKUP(EG8,$NX$33:$NY$45,2,0)="Yes",NOT(ISNUMBER(VLOOKUP(DATE($B$4,$B$5+$B$3-1,EG7),HolidayList[Date],1,0)))),TRUE,FALSE),FALSE)</f>
        <v>0</v>
      </c>
      <c r="EH6" s="16" t="b">
        <f>IFERROR(IF(AND(VLOOKUP(EH8,$NX$33:$NY$45,2,0)="Yes",NOT(ISNUMBER(VLOOKUP(DATE($B$4,$B$5+$B$3-1,EH7),HolidayList[Date],1,0)))),TRUE,FALSE),FALSE)</f>
        <v>0</v>
      </c>
      <c r="EI6" s="16" t="b">
        <f>IFERROR(IF(AND(VLOOKUP(EI8,$NX$33:$NY$45,2,0)="Yes",NOT(ISNUMBER(VLOOKUP(DATE($B$4,$B$5+$B$3-1,EI7),HolidayList[Date],1,0)))),TRUE,FALSE),FALSE)</f>
        <v>0</v>
      </c>
      <c r="EJ6" s="16" t="b">
        <f>IFERROR(IF(AND(VLOOKUP(EJ8,$NX$33:$NY$45,2,0)="Yes",NOT(ISNUMBER(VLOOKUP(DATE($B$4,$B$5+$B$3-1,EJ7),HolidayList[Date],1,0)))),TRUE,FALSE),FALSE)</f>
        <v>0</v>
      </c>
      <c r="EK6" s="16" t="b">
        <f>IFERROR(IF(AND(VLOOKUP(EK8,$NX$33:$NY$45,2,0)="Yes",NOT(ISNUMBER(VLOOKUP(DATE($B$4,$B$5+$B$3-1,EK7),HolidayList[Date],1,0)))),TRUE,FALSE),FALSE)</f>
        <v>0</v>
      </c>
      <c r="EL6" s="16" t="b">
        <f>IFERROR(IF(AND(VLOOKUP(EL8,$NX$33:$NY$45,2,0)="Yes",NOT(ISNUMBER(VLOOKUP(DATE($B$4,$B$5+$B$3-1,EL7),HolidayList[Date],1,0)))),TRUE,FALSE),FALSE)</f>
        <v>0</v>
      </c>
      <c r="EM6" s="16" t="b">
        <f>IFERROR(IF(AND(VLOOKUP(EM8,$NX$33:$NY$45,2,0)="Yes",NOT(ISNUMBER(VLOOKUP(DATE($B$4,$B$5+$B$3-1,EM7),HolidayList[Date],1,0)))),TRUE,FALSE),FALSE)</f>
        <v>0</v>
      </c>
      <c r="EN6" s="16" t="b">
        <f>IFERROR(IF(AND(VLOOKUP(EN8,$NX$33:$NY$45,2,0)="Yes",NOT(ISNUMBER(VLOOKUP(DATE($B$4,$B$5+$B$3-1,EN7),HolidayList[Date],1,0)))),TRUE,FALSE),FALSE)</f>
        <v>0</v>
      </c>
      <c r="EO6" s="16" t="b">
        <f>IFERROR(IF(AND(VLOOKUP(EO8,$NX$33:$NY$45,2,0)="Yes",NOT(ISNUMBER(VLOOKUP(DATE($B$4,$B$5+$B$3-1,EO7),HolidayList[Date],1,0)))),TRUE,FALSE),FALSE)</f>
        <v>0</v>
      </c>
      <c r="EP6" s="16" t="b">
        <f>IFERROR(IF(AND(VLOOKUP(EP8,$NX$33:$NY$45,2,0)="Yes",NOT(ISNUMBER(VLOOKUP(DATE($B$4,$B$5+$B$3-1,EP7),HolidayList[Date],1,0)))),TRUE,FALSE),FALSE)</f>
        <v>0</v>
      </c>
      <c r="EQ6" s="16" t="b">
        <f>IFERROR(IF(AND(VLOOKUP(EQ8,$NX$33:$NY$45,2,0)="Yes",NOT(ISNUMBER(VLOOKUP(DATE($B$4,$B$5+$B$3-1,EQ7),HolidayList[Date],1,0)))),TRUE,FALSE),FALSE)</f>
        <v>0</v>
      </c>
      <c r="ER6" s="16" t="b">
        <f>IFERROR(IF(AND(VLOOKUP(ER8,$NX$33:$NY$45,2,0)="Yes",NOT(ISNUMBER(VLOOKUP(DATE($B$4,$B$5+$B$3-1,ER7),HolidayList[Date],1,0)))),TRUE,FALSE),FALSE)</f>
        <v>0</v>
      </c>
      <c r="ES6" s="16" t="b">
        <f>IFERROR(IF(AND(VLOOKUP(ES8,$NX$33:$NY$45,2,0)="Yes",NOT(ISNUMBER(VLOOKUP(DATE($B$4,$B$5+$B$3-1,ES7),HolidayList[Date],1,0)))),TRUE,FALSE),FALSE)</f>
        <v>0</v>
      </c>
      <c r="ET6" s="16" t="b">
        <f>IFERROR(IF(AND(VLOOKUP(ET8,$NX$33:$NY$45,2,0)="Yes",NOT(ISNUMBER(VLOOKUP(DATE($B$4,$B$5+$B$3-1,ET7),HolidayList[Date],1,0)))),TRUE,FALSE),FALSE)</f>
        <v>0</v>
      </c>
      <c r="EU6" s="16" t="b">
        <f>IFERROR(IF(AND(VLOOKUP(EU8,$NX$33:$NY$45,2,0)="Yes",NOT(ISNUMBER(VLOOKUP(DATE($B$4,$B$5+$B$3-1,EU7),HolidayList[Date],1,0)))),TRUE,FALSE),FALSE)</f>
        <v>0</v>
      </c>
      <c r="EV6" s="16" t="b">
        <f>IFERROR(IF(AND(VLOOKUP(EV8,$NX$33:$NY$45,2,0)="Yes",NOT(ISNUMBER(VLOOKUP(DATE($B$4,$B$5+$B$3-1,EV7),HolidayList[Date],1,0)))),TRUE,FALSE),FALSE)</f>
        <v>0</v>
      </c>
      <c r="EW6" s="16" t="b">
        <f>IFERROR(IF(AND(VLOOKUP(EW8,$NX$33:$NY$45,2,0)="Yes",NOT(ISNUMBER(VLOOKUP(DATE($B$4,$B$5+$B$3-1,EW7),HolidayList[Date],1,0)))),TRUE,FALSE),FALSE)</f>
        <v>0</v>
      </c>
      <c r="EX6" s="16" t="b">
        <f>IFERROR(IF(AND(VLOOKUP(EX8,$NX$33:$NY$45,2,0)="Yes",NOT(ISNUMBER(VLOOKUP(DATE($B$4,$B$5+$B$3-1,EX7),HolidayList[Date],1,0)))),TRUE,FALSE),FALSE)</f>
        <v>0</v>
      </c>
      <c r="EY6" s="16" t="b">
        <f>IFERROR(IF(AND(VLOOKUP(EY8,$NX$33:$NY$45,2,0)="Yes",NOT(ISNUMBER(VLOOKUP(DATE($B$4,$B$5+$B$3-1,EY7),HolidayList[Date],1,0)))),TRUE,FALSE),FALSE)</f>
        <v>0</v>
      </c>
      <c r="EZ6" s="16" t="b">
        <f>IFERROR(IF(AND(VLOOKUP(EZ8,$NX$33:$NY$45,2,0)="Yes",NOT(ISNUMBER(VLOOKUP(DATE($B$4,$B$5+$B$3-1,EZ7),HolidayList[Date],1,0)))),TRUE,FALSE),FALSE)</f>
        <v>0</v>
      </c>
      <c r="FA6" s="16" t="b">
        <f>IFERROR(IF(AND(VLOOKUP(FA8,$NX$33:$NY$45,2,0)="Yes",NOT(ISNUMBER(VLOOKUP(DATE($B$4,$B$5+$B$3-1,FA7),HolidayList[Date],1,0)))),TRUE,FALSE),FALSE)</f>
        <v>0</v>
      </c>
      <c r="FB6" s="16" t="b">
        <f>IFERROR(IF(AND(VLOOKUP(FB8,$NX$33:$NY$45,2,0)="Yes",NOT(ISNUMBER(VLOOKUP(DATE($B$4,$B$5+$B$3-1,FB7),HolidayList[Date],1,0)))),TRUE,FALSE),FALSE)</f>
        <v>0</v>
      </c>
      <c r="FC6" s="16" t="b">
        <f>IFERROR(IF(AND(VLOOKUP(FC8,$NX$33:$NY$45,2,0)="Yes",NOT(ISNUMBER(VLOOKUP(DATE($B$4,$B$5+$B$3-1,FC7),HolidayList[Date],1,0)))),TRUE,FALSE),FALSE)</f>
        <v>0</v>
      </c>
      <c r="FD6" s="16" t="b">
        <f>IFERROR(IF(AND(VLOOKUP(FD8,$NX$33:$NY$45,2,0)="Yes",NOT(ISNUMBER(VLOOKUP(DATE($B$4,$B$5+$B$3-1,FD7),HolidayList[Date],1,0)))),TRUE,FALSE),FALSE)</f>
        <v>0</v>
      </c>
      <c r="FE6" s="16" t="b">
        <f>IFERROR(IF(AND(VLOOKUP(FE8,$NX$33:$NY$45,2,0)="Yes",NOT(ISNUMBER(VLOOKUP(DATE($B$4,$B$5+$B$3-1,FE7),HolidayList[Date],1,0)))),TRUE,FALSE),FALSE)</f>
        <v>0</v>
      </c>
      <c r="FF6" s="16" t="b">
        <f>IFERROR(IF(AND(VLOOKUP(FF8,$NX$33:$NY$45,2,0)="Yes",NOT(ISNUMBER(VLOOKUP(DATE($B$4,$B$5+$B$3-1,FF7),HolidayList[Date],1,0)))),TRUE,FALSE),FALSE)</f>
        <v>0</v>
      </c>
      <c r="FG6" s="16" t="b">
        <f>IFERROR(IF(AND(VLOOKUP(FG8,$NX$33:$NY$45,2,0)="Yes",NOT(ISNUMBER(VLOOKUP(DATE($B$4,$B$5+$B$3-1,FG7),HolidayList[Date],1,0)))),TRUE,FALSE),FALSE)</f>
        <v>0</v>
      </c>
      <c r="FH6" s="16" t="b">
        <f>IFERROR(IF(AND(VLOOKUP(FH8,$NX$33:$NY$45,2,0)="Yes",NOT(ISNUMBER(VLOOKUP(DATE($B$4,$B$5+$B$3-1,FH7),HolidayList[Date],1,0)))),TRUE,FALSE),FALSE)</f>
        <v>0</v>
      </c>
      <c r="FI6" s="16" t="b">
        <f>IFERROR(IF(AND(VLOOKUP(FI8,$NX$33:$NY$45,2,0)="Yes",NOT(ISNUMBER(VLOOKUP(DATE($B$4,$B$5+$B$3-1,FI7),HolidayList[Date],1,0)))),TRUE,FALSE),FALSE)</f>
        <v>0</v>
      </c>
      <c r="FJ6" s="16" t="b">
        <f>IFERROR(IF(AND(VLOOKUP(FJ8,$NX$33:$NY$45,2,0)="Yes",NOT(ISNUMBER(VLOOKUP(DATE($B$4,$B$5+$B$3-1,FJ7),HolidayList[Date],1,0)))),TRUE,FALSE),FALSE)</f>
        <v>0</v>
      </c>
      <c r="FK6" s="16" t="b">
        <f>IFERROR(IF(AND(VLOOKUP(FK8,$NX$33:$NY$45,2,0)="Yes",NOT(ISNUMBER(VLOOKUP(DATE($B$4,$B$5+$B$3-1,FK7),HolidayList[Date],1,0)))),TRUE,FALSE),FALSE)</f>
        <v>0</v>
      </c>
      <c r="FL6" s="16" t="b">
        <f>IFERROR(IF(AND(VLOOKUP(FL8,$NX$33:$NY$45,2,0)="Yes",NOT(ISNUMBER(VLOOKUP(DATE($B$4,$B$5+$B$3-1,FL7),HolidayList[Date],1,0)))),TRUE,FALSE),FALSE)</f>
        <v>0</v>
      </c>
      <c r="FM6" s="16" t="b">
        <f>IFERROR(IF(AND(VLOOKUP(FM8,$NX$33:$NY$45,2,0)="Yes",NOT(ISNUMBER(VLOOKUP(DATE($B$4,$B$5+$B$3-1,FM7),HolidayList[Date],1,0)))),TRUE,FALSE),FALSE)</f>
        <v>0</v>
      </c>
      <c r="FN6" s="16" t="b">
        <f>IFERROR(IF(AND(VLOOKUP(FN8,$NX$33:$NY$45,2,0)="Yes",NOT(ISNUMBER(VLOOKUP(DATE($B$4,$B$5+$B$3-1,FN7),HolidayList[Date],1,0)))),TRUE,FALSE),FALSE)</f>
        <v>0</v>
      </c>
      <c r="FO6" s="16" t="b">
        <f>IFERROR(IF(AND(VLOOKUP(FO8,$NX$33:$NY$45,2,0)="Yes",NOT(ISNUMBER(VLOOKUP(DATE($B$4,$B$5+$B$3-1,FO7),HolidayList[Date],1,0)))),TRUE,FALSE),FALSE)</f>
        <v>0</v>
      </c>
      <c r="FP6" s="16" t="b">
        <f>IFERROR(IF(AND(VLOOKUP(FP8,$NX$33:$NY$45,2,0)="Yes",NOT(ISNUMBER(VLOOKUP(DATE($B$4,$B$5+$B$3-1,FP7),HolidayList[Date],1,0)))),TRUE,FALSE),FALSE)</f>
        <v>0</v>
      </c>
      <c r="FQ6" s="16" t="b">
        <f>IFERROR(IF(AND(VLOOKUP(FQ8,$NX$33:$NY$45,2,0)="Yes",NOT(ISNUMBER(VLOOKUP(DATE($B$4,$B$5+$B$3-1,FQ7),HolidayList[Date],1,0)))),TRUE,FALSE),FALSE)</f>
        <v>0</v>
      </c>
      <c r="FR6" s="16" t="b">
        <f>IFERROR(IF(AND(VLOOKUP(FR8,$NX$33:$NY$45,2,0)="Yes",NOT(ISNUMBER(VLOOKUP(DATE($B$4,$B$5+$B$3-1,FR7),HolidayList[Date],1,0)))),TRUE,FALSE),FALSE)</f>
        <v>0</v>
      </c>
      <c r="FS6" s="16" t="b">
        <f>IFERROR(IF(AND(VLOOKUP(FS8,$NX$33:$NY$45,2,0)="Yes",NOT(ISNUMBER(VLOOKUP(DATE($B$4,$B$5+$B$3-1,FS7),HolidayList[Date],1,0)))),TRUE,FALSE),FALSE)</f>
        <v>0</v>
      </c>
      <c r="FT6" s="16" t="b">
        <f>IFERROR(IF(AND(VLOOKUP(FT8,$NX$33:$NY$45,2,0)="Yes",NOT(ISNUMBER(VLOOKUP(DATE($B$4,$B$5+$B$3-1,FT7),HolidayList[Date],1,0)))),TRUE,FALSE),FALSE)</f>
        <v>0</v>
      </c>
      <c r="FU6" s="16" t="b">
        <f>IFERROR(IF(AND(VLOOKUP(FU8,$NX$33:$NY$45,2,0)="Yes",NOT(ISNUMBER(VLOOKUP(DATE($B$4,$B$5+$B$3-1,FU7),HolidayList[Date],1,0)))),TRUE,FALSE),FALSE)</f>
        <v>0</v>
      </c>
      <c r="FV6" s="16" t="b">
        <f>IFERROR(IF(AND(VLOOKUP(FV8,$NX$33:$NY$45,2,0)="Yes",NOT(ISNUMBER(VLOOKUP(DATE($B$4,$B$5+$B$3-1,FV7),HolidayList[Date],1,0)))),TRUE,FALSE),FALSE)</f>
        <v>0</v>
      </c>
      <c r="FW6" s="16" t="b">
        <f>IFERROR(IF(AND(VLOOKUP(FW8,$NX$33:$NY$45,2,0)="Yes",NOT(ISNUMBER(VLOOKUP(DATE($B$4,$B$5+$B$3-1,FW7),HolidayList[Date],1,0)))),TRUE,FALSE),FALSE)</f>
        <v>0</v>
      </c>
      <c r="FX6" s="16" t="b">
        <f>IFERROR(IF(AND(VLOOKUP(FX8,$NX$33:$NY$45,2,0)="Yes",NOT(ISNUMBER(VLOOKUP(DATE($B$4,$B$5+$B$3-1,FX7),HolidayList[Date],1,0)))),TRUE,FALSE),FALSE)</f>
        <v>0</v>
      </c>
      <c r="FY6" s="16" t="b">
        <f>IFERROR(IF(AND(VLOOKUP(FY8,$NX$33:$NY$45,2,0)="Yes",NOT(ISNUMBER(VLOOKUP(DATE($B$4,$B$5+$B$3-1,FY7),HolidayList[Date],1,0)))),TRUE,FALSE),FALSE)</f>
        <v>0</v>
      </c>
      <c r="FZ6" s="16" t="b">
        <f>IFERROR(IF(AND(VLOOKUP(FZ8,$NX$33:$NY$45,2,0)="Yes",NOT(ISNUMBER(VLOOKUP(DATE($B$4,$B$5+$B$3-1,FZ7),HolidayList[Date],1,0)))),TRUE,FALSE),FALSE)</f>
        <v>0</v>
      </c>
      <c r="GA6" s="16" t="b">
        <f>IFERROR(IF(AND(VLOOKUP(GA8,$NX$33:$NY$45,2,0)="Yes",NOT(ISNUMBER(VLOOKUP(DATE($B$4,$B$5+$B$3-1,GA7),HolidayList[Date],1,0)))),TRUE,FALSE),FALSE)</f>
        <v>0</v>
      </c>
      <c r="GB6" s="16" t="b">
        <f>IFERROR(IF(AND(VLOOKUP(GB8,$NX$33:$NY$45,2,0)="Yes",NOT(ISNUMBER(VLOOKUP(DATE($B$4,$B$5+$B$3-1,GB7),HolidayList[Date],1,0)))),TRUE,FALSE),FALSE)</f>
        <v>0</v>
      </c>
      <c r="GC6" s="16" t="b">
        <f>IFERROR(IF(AND(VLOOKUP(GC8,$NX$33:$NY$45,2,0)="Yes",NOT(ISNUMBER(VLOOKUP(DATE($B$4,$B$5+$B$3-1,GC7),HolidayList[Date],1,0)))),TRUE,FALSE),FALSE)</f>
        <v>0</v>
      </c>
      <c r="GD6" s="16" t="b">
        <f>IFERROR(IF(AND(VLOOKUP(GD8,$NX$33:$NY$45,2,0)="Yes",NOT(ISNUMBER(VLOOKUP(DATE($B$4,$B$5+$B$3-1,GD7),HolidayList[Date],1,0)))),TRUE,FALSE),FALSE)</f>
        <v>0</v>
      </c>
      <c r="GE6" s="16" t="b">
        <f>IFERROR(IF(AND(VLOOKUP(GE8,$NX$33:$NY$45,2,0)="Yes",NOT(ISNUMBER(VLOOKUP(DATE($B$4,$B$5+$B$3-1,GE7),HolidayList[Date],1,0)))),TRUE,FALSE),FALSE)</f>
        <v>0</v>
      </c>
      <c r="GF6" s="16" t="b">
        <f>IFERROR(IF(AND(VLOOKUP(GF8,$NX$33:$NY$45,2,0)="Yes",NOT(ISNUMBER(VLOOKUP(DATE($B$4,$B$5+$B$3-1,GF7),HolidayList[Date],1,0)))),TRUE,FALSE),FALSE)</f>
        <v>0</v>
      </c>
      <c r="GG6" s="16" t="b">
        <f>IFERROR(IF(AND(VLOOKUP(GG8,$NX$33:$NY$45,2,0)="Yes",NOT(ISNUMBER(VLOOKUP(DATE($B$4,$B$5+$B$3-1,GG7),HolidayList[Date],1,0)))),TRUE,FALSE),FALSE)</f>
        <v>0</v>
      </c>
      <c r="GH6" s="16" t="b">
        <f>IFERROR(IF(AND(VLOOKUP(GH8,$NX$33:$NY$45,2,0)="Yes",NOT(ISNUMBER(VLOOKUP(DATE($B$4,$B$5+$B$3-1,GH7),HolidayList[Date],1,0)))),TRUE,FALSE),FALSE)</f>
        <v>0</v>
      </c>
      <c r="GI6" s="16" t="b">
        <f>IFERROR(IF(AND(VLOOKUP(GI8,$NX$33:$NY$45,2,0)="Yes",NOT(ISNUMBER(VLOOKUP(DATE($B$4,$B$5+$B$3-1,GI7),HolidayList[Date],1,0)))),TRUE,FALSE),FALSE)</f>
        <v>0</v>
      </c>
      <c r="GJ6" s="16" t="b">
        <f>IFERROR(IF(AND(VLOOKUP(GJ8,$NX$33:$NY$45,2,0)="Yes",NOT(ISNUMBER(VLOOKUP(DATE($B$4,$B$5+$B$3-1,GJ7),HolidayList[Date],1,0)))),TRUE,FALSE),FALSE)</f>
        <v>0</v>
      </c>
      <c r="GK6" s="16" t="b">
        <f>IFERROR(IF(AND(VLOOKUP(GK8,$NX$33:$NY$45,2,0)="Yes",NOT(ISNUMBER(VLOOKUP(DATE($B$4,$B$5+$B$3-1,GK7),HolidayList[Date],1,0)))),TRUE,FALSE),FALSE)</f>
        <v>0</v>
      </c>
      <c r="GL6" s="16" t="b">
        <f>IFERROR(IF(AND(VLOOKUP(GL8,$NX$33:$NY$45,2,0)="Yes",NOT(ISNUMBER(VLOOKUP(DATE($B$4,$B$5+$B$3-1,GL7),HolidayList[Date],1,0)))),TRUE,FALSE),FALSE)</f>
        <v>0</v>
      </c>
      <c r="GM6" s="16" t="b">
        <f>IFERROR(IF(AND(VLOOKUP(GM8,$NX$33:$NY$45,2,0)="Yes",NOT(ISNUMBER(VLOOKUP(DATE($B$4,$B$5+$B$3-1,GM7),HolidayList[Date],1,0)))),TRUE,FALSE),FALSE)</f>
        <v>0</v>
      </c>
      <c r="GN6" s="16" t="b">
        <f>IFERROR(IF(AND(VLOOKUP(GN8,$NX$33:$NY$45,2,0)="Yes",NOT(ISNUMBER(VLOOKUP(DATE($B$4,$B$5+$B$3-1,GN7),HolidayList[Date],1,0)))),TRUE,FALSE),FALSE)</f>
        <v>0</v>
      </c>
      <c r="GO6" s="16" t="b">
        <f>IFERROR(IF(AND(VLOOKUP(GO8,$NX$33:$NY$45,2,0)="Yes",NOT(ISNUMBER(VLOOKUP(DATE($B$4,$B$5+$B$3-1,GO7),HolidayList[Date],1,0)))),TRUE,FALSE),FALSE)</f>
        <v>0</v>
      </c>
      <c r="GP6" s="16" t="b">
        <f>IFERROR(IF(AND(VLOOKUP(GP8,$NX$33:$NY$45,2,0)="Yes",NOT(ISNUMBER(VLOOKUP(DATE($B$4,$B$5+$B$3-1,GP7),HolidayList[Date],1,0)))),TRUE,FALSE),FALSE)</f>
        <v>0</v>
      </c>
      <c r="GQ6" s="16" t="b">
        <f>IFERROR(IF(AND(VLOOKUP(GQ8,$NX$33:$NY$45,2,0)="Yes",NOT(ISNUMBER(VLOOKUP(DATE($B$4,$B$5+$B$3-1,GQ7),HolidayList[Date],1,0)))),TRUE,FALSE),FALSE)</f>
        <v>0</v>
      </c>
      <c r="GR6" s="16" t="b">
        <f>IFERROR(IF(AND(VLOOKUP(GR8,$NX$33:$NY$45,2,0)="Yes",NOT(ISNUMBER(VLOOKUP(DATE($B$4,$B$5+$B$3-1,GR7),HolidayList[Date],1,0)))),TRUE,FALSE),FALSE)</f>
        <v>0</v>
      </c>
      <c r="GS6" s="16" t="b">
        <f>IFERROR(IF(AND(VLOOKUP(GS8,$NX$33:$NY$45,2,0)="Yes",NOT(ISNUMBER(VLOOKUP(DATE($B$4,$B$5+$B$3-1,GS7),HolidayList[Date],1,0)))),TRUE,FALSE),FALSE)</f>
        <v>0</v>
      </c>
      <c r="GT6" s="16" t="b">
        <f>IFERROR(IF(AND(VLOOKUP(GT8,$NX$33:$NY$45,2,0)="Yes",NOT(ISNUMBER(VLOOKUP(DATE($B$4,$B$5+$B$3-1,GT7),HolidayList[Date],1,0)))),TRUE,FALSE),FALSE)</f>
        <v>0</v>
      </c>
      <c r="GU6" s="16" t="b">
        <f>IFERROR(IF(AND(VLOOKUP(GU8,$NX$33:$NY$45,2,0)="Yes",NOT(ISNUMBER(VLOOKUP(DATE($B$4,$B$5+$B$3-1,GU7),HolidayList[Date],1,0)))),TRUE,FALSE),FALSE)</f>
        <v>0</v>
      </c>
      <c r="GV6" s="16" t="b">
        <f>IFERROR(IF(AND(VLOOKUP(GV8,$NX$33:$NY$45,2,0)="Yes",NOT(ISNUMBER(VLOOKUP(DATE($B$4,$B$5+$B$3-1,GV7),HolidayList[Date],1,0)))),TRUE,FALSE),FALSE)</f>
        <v>0</v>
      </c>
      <c r="GW6" s="16" t="b">
        <f>IFERROR(IF(AND(VLOOKUP(GW8,$NX$33:$NY$45,2,0)="Yes",NOT(ISNUMBER(VLOOKUP(DATE($B$4,$B$5+$B$3-1,GW7),HolidayList[Date],1,0)))),TRUE,FALSE),FALSE)</f>
        <v>0</v>
      </c>
      <c r="GX6" s="16" t="b">
        <f>IFERROR(IF(AND(VLOOKUP(GX8,$NX$33:$NY$45,2,0)="Yes",NOT(ISNUMBER(VLOOKUP(DATE($B$4,$B$5+$B$3-1,GX7),HolidayList[Date],1,0)))),TRUE,FALSE),FALSE)</f>
        <v>0</v>
      </c>
      <c r="GY6" s="16" t="b">
        <f>IFERROR(IF(AND(VLOOKUP(GY8,$NX$33:$NY$45,2,0)="Yes",NOT(ISNUMBER(VLOOKUP(DATE($B$4,$B$5+$B$3-1,GY7),HolidayList[Date],1,0)))),TRUE,FALSE),FALSE)</f>
        <v>0</v>
      </c>
      <c r="GZ6" s="16" t="b">
        <f>IFERROR(IF(AND(VLOOKUP(GZ8,$NX$33:$NY$45,2,0)="Yes",NOT(ISNUMBER(VLOOKUP(DATE($B$4,$B$5+$B$3-1,GZ7),HolidayList[Date],1,0)))),TRUE,FALSE),FALSE)</f>
        <v>0</v>
      </c>
      <c r="HA6" s="16" t="b">
        <f>IFERROR(IF(AND(VLOOKUP(HA8,$NX$33:$NY$45,2,0)="Yes",NOT(ISNUMBER(VLOOKUP(DATE($B$4,$B$5+$B$3-1,HA7),HolidayList[Date],1,0)))),TRUE,FALSE),FALSE)</f>
        <v>0</v>
      </c>
      <c r="HB6" s="16" t="b">
        <f>IFERROR(IF(AND(VLOOKUP(HB8,$NX$33:$NY$45,2,0)="Yes",NOT(ISNUMBER(VLOOKUP(DATE($B$4,$B$5+$B$3-1,HB7),HolidayList[Date],1,0)))),TRUE,FALSE),FALSE)</f>
        <v>0</v>
      </c>
      <c r="HC6" s="16" t="b">
        <f>IFERROR(IF(AND(VLOOKUP(HC8,$NX$33:$NY$45,2,0)="Yes",NOT(ISNUMBER(VLOOKUP(DATE($B$4,$B$5+$B$3-1,HC7),HolidayList[Date],1,0)))),TRUE,FALSE),FALSE)</f>
        <v>0</v>
      </c>
      <c r="HD6" s="16" t="b">
        <f>IFERROR(IF(AND(VLOOKUP(HD8,$NX$33:$NY$45,2,0)="Yes",NOT(ISNUMBER(VLOOKUP(DATE($B$4,$B$5+$B$3-1,HD7),HolidayList[Date],1,0)))),TRUE,FALSE),FALSE)</f>
        <v>0</v>
      </c>
      <c r="HE6" s="16" t="b">
        <f>IFERROR(IF(AND(VLOOKUP(HE8,$NX$33:$NY$45,2,0)="Yes",NOT(ISNUMBER(VLOOKUP(DATE($B$4,$B$5+$B$3-1,HE7),HolidayList[Date],1,0)))),TRUE,FALSE),FALSE)</f>
        <v>0</v>
      </c>
      <c r="HF6" s="16" t="b">
        <f>IFERROR(IF(AND(VLOOKUP(HF8,$NX$33:$NY$45,2,0)="Yes",NOT(ISNUMBER(VLOOKUP(DATE($B$4,$B$5+$B$3-1,HF7),HolidayList[Date],1,0)))),TRUE,FALSE),FALSE)</f>
        <v>0</v>
      </c>
      <c r="HG6" s="16" t="b">
        <f>IFERROR(IF(AND(VLOOKUP(HG8,$NX$33:$NY$45,2,0)="Yes",NOT(ISNUMBER(VLOOKUP(DATE($B$4,$B$5+$B$3-1,HG7),HolidayList[Date],1,0)))),TRUE,FALSE),FALSE)</f>
        <v>0</v>
      </c>
      <c r="HH6" s="16" t="b">
        <f>IFERROR(IF(AND(VLOOKUP(HH8,$NX$33:$NY$45,2,0)="Yes",NOT(ISNUMBER(VLOOKUP(DATE($B$4,$B$5+$B$3-1,HH7),HolidayList[Date],1,0)))),TRUE,FALSE),FALSE)</f>
        <v>0</v>
      </c>
      <c r="HI6" s="16" t="b">
        <f>IFERROR(IF(AND(VLOOKUP(HI8,$NX$33:$NY$45,2,0)="Yes",NOT(ISNUMBER(VLOOKUP(DATE($B$4,$B$5+$B$3-1,HI7),HolidayList[Date],1,0)))),TRUE,FALSE),FALSE)</f>
        <v>0</v>
      </c>
      <c r="HJ6" s="16" t="b">
        <f>IFERROR(IF(AND(VLOOKUP(HJ8,$NX$33:$NY$45,2,0)="Yes",NOT(ISNUMBER(VLOOKUP(DATE($B$4,$B$5+$B$3-1,HJ7),HolidayList[Date],1,0)))),TRUE,FALSE),FALSE)</f>
        <v>0</v>
      </c>
      <c r="HK6" s="16" t="b">
        <f>IFERROR(IF(AND(VLOOKUP(HK8,$NX$33:$NY$45,2,0)="Yes",NOT(ISNUMBER(VLOOKUP(DATE($B$4,$B$5+$B$3-1,HK7),HolidayList[Date],1,0)))),TRUE,FALSE),FALSE)</f>
        <v>0</v>
      </c>
      <c r="HL6" s="16" t="b">
        <f>IFERROR(IF(AND(VLOOKUP(HL8,$NX$33:$NY$45,2,0)="Yes",NOT(ISNUMBER(VLOOKUP(DATE($B$4,$B$5+$B$3-1,HL7),HolidayList[Date],1,0)))),TRUE,FALSE),FALSE)</f>
        <v>0</v>
      </c>
      <c r="HM6" s="16" t="b">
        <f>IFERROR(IF(AND(VLOOKUP(HM8,$NX$33:$NY$45,2,0)="Yes",NOT(ISNUMBER(VLOOKUP(DATE($B$4,$B$5+$B$3-1,HM7),HolidayList[Date],1,0)))),TRUE,FALSE),FALSE)</f>
        <v>0</v>
      </c>
      <c r="HN6" s="16" t="b">
        <f>IFERROR(IF(AND(VLOOKUP(HN8,$NX$33:$NY$45,2,0)="Yes",NOT(ISNUMBER(VLOOKUP(DATE($B$4,$B$5+$B$3-1,HN7),HolidayList[Date],1,0)))),TRUE,FALSE),FALSE)</f>
        <v>0</v>
      </c>
      <c r="HO6" s="16" t="b">
        <f>IFERROR(IF(AND(VLOOKUP(HO8,$NX$33:$NY$45,2,0)="Yes",NOT(ISNUMBER(VLOOKUP(DATE($B$4,$B$5+$B$3-1,HO7),HolidayList[Date],1,0)))),TRUE,FALSE),FALSE)</f>
        <v>0</v>
      </c>
      <c r="HP6" s="16" t="b">
        <f>IFERROR(IF(AND(VLOOKUP(HP8,$NX$33:$NY$45,2,0)="Yes",NOT(ISNUMBER(VLOOKUP(DATE($B$4,$B$5+$B$3-1,HP7),HolidayList[Date],1,0)))),TRUE,FALSE),FALSE)</f>
        <v>0</v>
      </c>
      <c r="HQ6" s="16" t="b">
        <f>IFERROR(IF(AND(VLOOKUP(HQ8,$NX$33:$NY$45,2,0)="Yes",NOT(ISNUMBER(VLOOKUP(DATE($B$4,$B$5+$B$3-1,HQ7),HolidayList[Date],1,0)))),TRUE,FALSE),FALSE)</f>
        <v>0</v>
      </c>
      <c r="HR6" s="16" t="b">
        <f>IFERROR(IF(AND(VLOOKUP(HR8,$NX$33:$NY$45,2,0)="Yes",NOT(ISNUMBER(VLOOKUP(DATE($B$4,$B$5+$B$3-1,HR7),HolidayList[Date],1,0)))),TRUE,FALSE),FALSE)</f>
        <v>0</v>
      </c>
      <c r="HS6" s="16" t="b">
        <f>IFERROR(IF(AND(VLOOKUP(HS8,$NX$33:$NY$45,2,0)="Yes",NOT(ISNUMBER(VLOOKUP(DATE($B$4,$B$5+$B$3-1,HS7),HolidayList[Date],1,0)))),TRUE,FALSE),FALSE)</f>
        <v>0</v>
      </c>
      <c r="HT6" s="16" t="b">
        <f>IFERROR(IF(AND(VLOOKUP(HT8,$NX$33:$NY$45,2,0)="Yes",NOT(ISNUMBER(VLOOKUP(DATE($B$4,$B$5+$B$3-1,HT7),HolidayList[Date],1,0)))),TRUE,FALSE),FALSE)</f>
        <v>0</v>
      </c>
      <c r="HU6" s="16" t="b">
        <f>IFERROR(IF(AND(VLOOKUP(HU8,$NX$33:$NY$45,2,0)="Yes",NOT(ISNUMBER(VLOOKUP(DATE($B$4,$B$5+$B$3-1,HU7),HolidayList[Date],1,0)))),TRUE,FALSE),FALSE)</f>
        <v>0</v>
      </c>
      <c r="HV6" s="16" t="b">
        <f>IFERROR(IF(AND(VLOOKUP(HV8,$NX$33:$NY$45,2,0)="Yes",NOT(ISNUMBER(VLOOKUP(DATE($B$4,$B$5+$B$3-1,HV7),HolidayList[Date],1,0)))),TRUE,FALSE),FALSE)</f>
        <v>0</v>
      </c>
      <c r="HW6" s="16" t="b">
        <f>IFERROR(IF(AND(VLOOKUP(HW8,$NX$33:$NY$45,2,0)="Yes",NOT(ISNUMBER(VLOOKUP(DATE($B$4,$B$5+$B$3-1,HW7),HolidayList[Date],1,0)))),TRUE,FALSE),FALSE)</f>
        <v>0</v>
      </c>
      <c r="HX6" s="16" t="b">
        <f>IFERROR(IF(AND(VLOOKUP(HX8,$NX$33:$NY$45,2,0)="Yes",NOT(ISNUMBER(VLOOKUP(DATE($B$4,$B$5+$B$3-1,HX7),HolidayList[Date],1,0)))),TRUE,FALSE),FALSE)</f>
        <v>0</v>
      </c>
      <c r="HY6" s="16" t="b">
        <f>IFERROR(IF(AND(VLOOKUP(HY8,$NX$33:$NY$45,2,0)="Yes",NOT(ISNUMBER(VLOOKUP(DATE($B$4,$B$5+$B$3-1,HY7),HolidayList[Date],1,0)))),TRUE,FALSE),FALSE)</f>
        <v>0</v>
      </c>
      <c r="HZ6" s="16" t="b">
        <f>IFERROR(IF(AND(VLOOKUP(HZ8,$NX$33:$NY$45,2,0)="Yes",NOT(ISNUMBER(VLOOKUP(DATE($B$4,$B$5+$B$3-1,HZ7),HolidayList[Date],1,0)))),TRUE,FALSE),FALSE)</f>
        <v>0</v>
      </c>
      <c r="IA6" s="16" t="b">
        <f>IFERROR(IF(AND(VLOOKUP(IA8,$NX$33:$NY$45,2,0)="Yes",NOT(ISNUMBER(VLOOKUP(DATE($B$4,$B$5+$B$3-1,IA7),HolidayList[Date],1,0)))),TRUE,FALSE),FALSE)</f>
        <v>0</v>
      </c>
      <c r="IB6" s="16" t="b">
        <f>IFERROR(IF(AND(VLOOKUP(IB8,$NX$33:$NY$45,2,0)="Yes",NOT(ISNUMBER(VLOOKUP(DATE($B$4,$B$5+$B$3-1,IB7),HolidayList[Date],1,0)))),TRUE,FALSE),FALSE)</f>
        <v>0</v>
      </c>
      <c r="IC6" s="16" t="b">
        <f>IFERROR(IF(AND(VLOOKUP(IC8,$NX$33:$NY$45,2,0)="Yes",NOT(ISNUMBER(VLOOKUP(DATE($B$4,$B$5+$B$3-1,IC7),HolidayList[Date],1,0)))),TRUE,FALSE),FALSE)</f>
        <v>0</v>
      </c>
      <c r="ID6" s="16" t="b">
        <f>IFERROR(IF(AND(VLOOKUP(ID8,$NX$33:$NY$45,2,0)="Yes",NOT(ISNUMBER(VLOOKUP(DATE($B$4,$B$5+$B$3-1,ID7),HolidayList[Date],1,0)))),TRUE,FALSE),FALSE)</f>
        <v>0</v>
      </c>
      <c r="IE6" s="16" t="b">
        <f>IFERROR(IF(AND(VLOOKUP(IE8,$NX$33:$NY$45,2,0)="Yes",NOT(ISNUMBER(VLOOKUP(DATE($B$4,$B$5+$B$3-1,IE7),HolidayList[Date],1,0)))),TRUE,FALSE),FALSE)</f>
        <v>0</v>
      </c>
      <c r="IF6" s="16" t="b">
        <f>IFERROR(IF(AND(VLOOKUP(IF8,$NX$33:$NY$45,2,0)="Yes",NOT(ISNUMBER(VLOOKUP(DATE($B$4,$B$5+$B$3-1,IF7),HolidayList[Date],1,0)))),TRUE,FALSE),FALSE)</f>
        <v>0</v>
      </c>
      <c r="IG6" s="16" t="b">
        <f>IFERROR(IF(AND(VLOOKUP(IG8,$NX$33:$NY$45,2,0)="Yes",NOT(ISNUMBER(VLOOKUP(DATE($B$4,$B$5+$B$3-1,IG7),HolidayList[Date],1,0)))),TRUE,FALSE),FALSE)</f>
        <v>0</v>
      </c>
      <c r="IH6" s="16" t="b">
        <f>IFERROR(IF(AND(VLOOKUP(IH8,$NX$33:$NY$45,2,0)="Yes",NOT(ISNUMBER(VLOOKUP(DATE($B$4,$B$5+$B$3-1,IH7),HolidayList[Date],1,0)))),TRUE,FALSE),FALSE)</f>
        <v>0</v>
      </c>
      <c r="II6" s="16" t="b">
        <f>IFERROR(IF(AND(VLOOKUP(II8,$NX$33:$NY$45,2,0)="Yes",NOT(ISNUMBER(VLOOKUP(DATE($B$4,$B$5+$B$3-1,II7),HolidayList[Date],1,0)))),TRUE,FALSE),FALSE)</f>
        <v>0</v>
      </c>
      <c r="IJ6" s="16" t="b">
        <f>IFERROR(IF(AND(VLOOKUP(IJ8,$NX$33:$NY$45,2,0)="Yes",NOT(ISNUMBER(VLOOKUP(DATE($B$4,$B$5+$B$3-1,IJ7),HolidayList[Date],1,0)))),TRUE,FALSE),FALSE)</f>
        <v>0</v>
      </c>
      <c r="IK6" s="16" t="b">
        <f>IFERROR(IF(AND(VLOOKUP(IK8,$NX$33:$NY$45,2,0)="Yes",NOT(ISNUMBER(VLOOKUP(DATE($B$4,$B$5+$B$3-1,IK7),HolidayList[Date],1,0)))),TRUE,FALSE),FALSE)</f>
        <v>0</v>
      </c>
      <c r="IL6" s="16" t="b">
        <f>IFERROR(IF(AND(VLOOKUP(IL8,$NX$33:$NY$45,2,0)="Yes",NOT(ISNUMBER(VLOOKUP(DATE($B$4,$B$5+$B$3-1,IL7),HolidayList[Date],1,0)))),TRUE,FALSE),FALSE)</f>
        <v>0</v>
      </c>
      <c r="IM6" s="16" t="b">
        <f>IFERROR(IF(AND(VLOOKUP(IM8,$NX$33:$NY$45,2,0)="Yes",NOT(ISNUMBER(VLOOKUP(DATE($B$4,$B$5+$B$3-1,IM7),HolidayList[Date],1,0)))),TRUE,FALSE),FALSE)</f>
        <v>0</v>
      </c>
      <c r="IN6" s="16" t="b">
        <f>IFERROR(IF(AND(VLOOKUP(IN8,$NX$33:$NY$45,2,0)="Yes",NOT(ISNUMBER(VLOOKUP(DATE($B$4,$B$5+$B$3-1,IN7),HolidayList[Date],1,0)))),TRUE,FALSE),FALSE)</f>
        <v>0</v>
      </c>
      <c r="IO6" s="16" t="b">
        <f>IFERROR(IF(AND(VLOOKUP(IO8,$NX$33:$NY$45,2,0)="Yes",NOT(ISNUMBER(VLOOKUP(DATE($B$4,$B$5+$B$3-1,IO7),HolidayList[Date],1,0)))),TRUE,FALSE),FALSE)</f>
        <v>0</v>
      </c>
      <c r="IP6" s="16" t="b">
        <f>IFERROR(IF(AND(VLOOKUP(IP8,$NX$33:$NY$45,2,0)="Yes",NOT(ISNUMBER(VLOOKUP(DATE($B$4,$B$5+$B$3-1,IP7),HolidayList[Date],1,0)))),TRUE,FALSE),FALSE)</f>
        <v>0</v>
      </c>
      <c r="IQ6" s="16" t="b">
        <f>IFERROR(IF(AND(VLOOKUP(IQ8,$NX$33:$NY$45,2,0)="Yes",NOT(ISNUMBER(VLOOKUP(DATE($B$4,$B$5+$B$3-1,IQ7),HolidayList[Date],1,0)))),TRUE,FALSE),FALSE)</f>
        <v>0</v>
      </c>
      <c r="IR6" s="16" t="b">
        <f>IFERROR(IF(AND(VLOOKUP(IR8,$NX$33:$NY$45,2,0)="Yes",NOT(ISNUMBER(VLOOKUP(DATE($B$4,$B$5+$B$3-1,IR7),HolidayList[Date],1,0)))),TRUE,FALSE),FALSE)</f>
        <v>0</v>
      </c>
      <c r="IS6" s="16" t="b">
        <f>IFERROR(IF(AND(VLOOKUP(IS8,$NX$33:$NY$45,2,0)="Yes",NOT(ISNUMBER(VLOOKUP(DATE($B$4,$B$5+$B$3-1,IS7),HolidayList[Date],1,0)))),TRUE,FALSE),FALSE)</f>
        <v>0</v>
      </c>
      <c r="IT6" s="16" t="b">
        <f>IFERROR(IF(AND(VLOOKUP(IT8,$NX$33:$NY$45,2,0)="Yes",NOT(ISNUMBER(VLOOKUP(DATE($B$4,$B$5+$B$3-1,IT7),HolidayList[Date],1,0)))),TRUE,FALSE),FALSE)</f>
        <v>0</v>
      </c>
      <c r="IU6" s="16" t="b">
        <f>IFERROR(IF(AND(VLOOKUP(IU8,$NX$33:$NY$45,2,0)="Yes",NOT(ISNUMBER(VLOOKUP(DATE($B$4,$B$5+$B$3-1,IU7),HolidayList[Date],1,0)))),TRUE,FALSE),FALSE)</f>
        <v>0</v>
      </c>
      <c r="IV6" s="16" t="b">
        <f>IFERROR(IF(AND(VLOOKUP(IV8,$NX$33:$NY$45,2,0)="Yes",NOT(ISNUMBER(VLOOKUP(DATE($B$4,$B$5+$B$3-1,IV7),HolidayList[Date],1,0)))),TRUE,FALSE),FALSE)</f>
        <v>0</v>
      </c>
      <c r="IW6" s="16" t="b">
        <f>IFERROR(IF(AND(VLOOKUP(IW8,$NX$33:$NY$45,2,0)="Yes",NOT(ISNUMBER(VLOOKUP(DATE($B$4,$B$5+$B$3-1,IW7),HolidayList[Date],1,0)))),TRUE,FALSE),FALSE)</f>
        <v>0</v>
      </c>
      <c r="IX6" s="16" t="b">
        <f>IFERROR(IF(AND(VLOOKUP(IX8,$NX$33:$NY$45,2,0)="Yes",NOT(ISNUMBER(VLOOKUP(DATE($B$4,$B$5+$B$3-1,IX7),HolidayList[Date],1,0)))),TRUE,FALSE),FALSE)</f>
        <v>0</v>
      </c>
      <c r="IY6" s="16" t="b">
        <f>IFERROR(IF(AND(VLOOKUP(IY8,$NX$33:$NY$45,2,0)="Yes",NOT(ISNUMBER(VLOOKUP(DATE($B$4,$B$5+$B$3-1,IY7),HolidayList[Date],1,0)))),TRUE,FALSE),FALSE)</f>
        <v>0</v>
      </c>
      <c r="IZ6" s="16" t="b">
        <f>IFERROR(IF(AND(VLOOKUP(IZ8,$NX$33:$NY$45,2,0)="Yes",NOT(ISNUMBER(VLOOKUP(DATE($B$4,$B$5+$B$3-1,IZ7),HolidayList[Date],1,0)))),TRUE,FALSE),FALSE)</f>
        <v>0</v>
      </c>
      <c r="JA6" s="16" t="b">
        <f>IFERROR(IF(AND(VLOOKUP(JA8,$NX$33:$NY$45,2,0)="Yes",NOT(ISNUMBER(VLOOKUP(DATE($B$4,$B$5+$B$3-1,JA7),HolidayList[Date],1,0)))),TRUE,FALSE),FALSE)</f>
        <v>0</v>
      </c>
      <c r="JB6" s="16" t="b">
        <f>IFERROR(IF(AND(VLOOKUP(JB8,$NX$33:$NY$45,2,0)="Yes",NOT(ISNUMBER(VLOOKUP(DATE($B$4,$B$5+$B$3-1,JB7),HolidayList[Date],1,0)))),TRUE,FALSE),FALSE)</f>
        <v>0</v>
      </c>
      <c r="JC6" s="16" t="b">
        <f>IFERROR(IF(AND(VLOOKUP(JC8,$NX$33:$NY$45,2,0)="Yes",NOT(ISNUMBER(VLOOKUP(DATE($B$4,$B$5+$B$3-1,JC7),HolidayList[Date],1,0)))),TRUE,FALSE),FALSE)</f>
        <v>0</v>
      </c>
      <c r="JD6" s="16" t="b">
        <f>IFERROR(IF(AND(VLOOKUP(JD8,$NX$33:$NY$45,2,0)="Yes",NOT(ISNUMBER(VLOOKUP(DATE($B$4,$B$5+$B$3-1,JD7),HolidayList[Date],1,0)))),TRUE,FALSE),FALSE)</f>
        <v>0</v>
      </c>
      <c r="JE6" s="16" t="b">
        <f>IFERROR(IF(AND(VLOOKUP(JE8,$NX$33:$NY$45,2,0)="Yes",NOT(ISNUMBER(VLOOKUP(DATE($B$4,$B$5+$B$3-1,JE7),HolidayList[Date],1,0)))),TRUE,FALSE),FALSE)</f>
        <v>0</v>
      </c>
      <c r="JF6" s="16" t="b">
        <f>IFERROR(IF(AND(VLOOKUP(JF8,$NX$33:$NY$45,2,0)="Yes",NOT(ISNUMBER(VLOOKUP(DATE($B$4,$B$5+$B$3-1,JF7),HolidayList[Date],1,0)))),TRUE,FALSE),FALSE)</f>
        <v>0</v>
      </c>
      <c r="JG6" s="16" t="b">
        <f>IFERROR(IF(AND(VLOOKUP(JG8,$NX$33:$NY$45,2,0)="Yes",NOT(ISNUMBER(VLOOKUP(DATE($B$4,$B$5+$B$3-1,JG7),HolidayList[Date],1,0)))),TRUE,FALSE),FALSE)</f>
        <v>0</v>
      </c>
      <c r="JH6" s="16" t="b">
        <f>IFERROR(IF(AND(VLOOKUP(JH8,$NX$33:$NY$45,2,0)="Yes",NOT(ISNUMBER(VLOOKUP(DATE($B$4,$B$5+$B$3-1,JH7),HolidayList[Date],1,0)))),TRUE,FALSE),FALSE)</f>
        <v>0</v>
      </c>
      <c r="JI6" s="16" t="b">
        <f>IFERROR(IF(AND(VLOOKUP(JI8,$NX$33:$NY$45,2,0)="Yes",NOT(ISNUMBER(VLOOKUP(DATE($B$4,$B$5+$B$3-1,JI7),HolidayList[Date],1,0)))),TRUE,FALSE),FALSE)</f>
        <v>0</v>
      </c>
      <c r="JJ6" s="16" t="b">
        <f>IFERROR(IF(AND(VLOOKUP(JJ8,$NX$33:$NY$45,2,0)="Yes",NOT(ISNUMBER(VLOOKUP(DATE($B$4,$B$5+$B$3-1,JJ7),HolidayList[Date],1,0)))),TRUE,FALSE),FALSE)</f>
        <v>0</v>
      </c>
      <c r="JK6" s="16" t="b">
        <f>IFERROR(IF(AND(VLOOKUP(JK8,$NX$33:$NY$45,2,0)="Yes",NOT(ISNUMBER(VLOOKUP(DATE($B$4,$B$5+$B$3-1,JK7),HolidayList[Date],1,0)))),TRUE,FALSE),FALSE)</f>
        <v>0</v>
      </c>
      <c r="JL6" s="16" t="b">
        <f>IFERROR(IF(AND(VLOOKUP(JL8,$NX$33:$NY$45,2,0)="Yes",NOT(ISNUMBER(VLOOKUP(DATE($B$4,$B$5+$B$3-1,JL7),HolidayList[Date],1,0)))),TRUE,FALSE),FALSE)</f>
        <v>0</v>
      </c>
      <c r="JM6" s="16" t="b">
        <f>IFERROR(IF(AND(VLOOKUP(JM8,$NX$33:$NY$45,2,0)="Yes",NOT(ISNUMBER(VLOOKUP(DATE($B$4,$B$5+$B$3-1,JM7),HolidayList[Date],1,0)))),TRUE,FALSE),FALSE)</f>
        <v>0</v>
      </c>
      <c r="JN6" s="16" t="b">
        <f>IFERROR(IF(AND(VLOOKUP(JN8,$NX$33:$NY$45,2,0)="Yes",NOT(ISNUMBER(VLOOKUP(DATE($B$4,$B$5+$B$3-1,JN7),HolidayList[Date],1,0)))),TRUE,FALSE),FALSE)</f>
        <v>0</v>
      </c>
      <c r="JO6" s="16" t="b">
        <f>IFERROR(IF(AND(VLOOKUP(JO8,$NX$33:$NY$45,2,0)="Yes",NOT(ISNUMBER(VLOOKUP(DATE($B$4,$B$5+$B$3-1,JO7),HolidayList[Date],1,0)))),TRUE,FALSE),FALSE)</f>
        <v>0</v>
      </c>
      <c r="JP6" s="16" t="b">
        <f>IFERROR(IF(AND(VLOOKUP(JP8,$NX$33:$NY$45,2,0)="Yes",NOT(ISNUMBER(VLOOKUP(DATE($B$4,$B$5+$B$3-1,JP7),HolidayList[Date],1,0)))),TRUE,FALSE),FALSE)</f>
        <v>0</v>
      </c>
      <c r="JQ6" s="16" t="b">
        <f>IFERROR(IF(AND(VLOOKUP(JQ8,$NX$33:$NY$45,2,0)="Yes",NOT(ISNUMBER(VLOOKUP(DATE($B$4,$B$5+$B$3-1,JQ7),HolidayList[Date],1,0)))),TRUE,FALSE),FALSE)</f>
        <v>0</v>
      </c>
      <c r="JR6" s="16" t="b">
        <f>IFERROR(IF(AND(VLOOKUP(JR8,$NX$33:$NY$45,2,0)="Yes",NOT(ISNUMBER(VLOOKUP(DATE($B$4,$B$5+$B$3-1,JR7),HolidayList[Date],1,0)))),TRUE,FALSE),FALSE)</f>
        <v>0</v>
      </c>
      <c r="JS6" s="16" t="b">
        <f>IFERROR(IF(AND(VLOOKUP(JS8,$NX$33:$NY$45,2,0)="Yes",NOT(ISNUMBER(VLOOKUP(DATE($B$4,$B$5+$B$3-1,JS7),HolidayList[Date],1,0)))),TRUE,FALSE),FALSE)</f>
        <v>0</v>
      </c>
      <c r="JT6" s="16" t="b">
        <f>IFERROR(IF(AND(VLOOKUP(JT8,$NX$33:$NY$45,2,0)="Yes",NOT(ISNUMBER(VLOOKUP(DATE($B$4,$B$5+$B$3-1,JT7),HolidayList[Date],1,0)))),TRUE,FALSE),FALSE)</f>
        <v>0</v>
      </c>
      <c r="JU6" s="16" t="b">
        <f>IFERROR(IF(AND(VLOOKUP(JU8,$NX$33:$NY$45,2,0)="Yes",NOT(ISNUMBER(VLOOKUP(DATE($B$4,$B$5+$B$3-1,JU7),HolidayList[Date],1,0)))),TRUE,FALSE),FALSE)</f>
        <v>0</v>
      </c>
      <c r="JV6" s="16" t="b">
        <f>IFERROR(IF(AND(VLOOKUP(JV8,$NX$33:$NY$45,2,0)="Yes",NOT(ISNUMBER(VLOOKUP(DATE($B$4,$B$5+$B$3-1,JV7),HolidayList[Date],1,0)))),TRUE,FALSE),FALSE)</f>
        <v>0</v>
      </c>
      <c r="JW6" s="16" t="b">
        <f>IFERROR(IF(AND(VLOOKUP(JW8,$NX$33:$NY$45,2,0)="Yes",NOT(ISNUMBER(VLOOKUP(DATE($B$4,$B$5+$B$3-1,JW7),HolidayList[Date],1,0)))),TRUE,FALSE),FALSE)</f>
        <v>0</v>
      </c>
      <c r="JX6" s="16" t="b">
        <f>IFERROR(IF(AND(VLOOKUP(JX8,$NX$33:$NY$45,2,0)="Yes",NOT(ISNUMBER(VLOOKUP(DATE($B$4,$B$5+$B$3-1,JX7),HolidayList[Date],1,0)))),TRUE,FALSE),FALSE)</f>
        <v>0</v>
      </c>
      <c r="JY6" s="16" t="b">
        <f>IFERROR(IF(AND(VLOOKUP(JY8,$NX$33:$NY$45,2,0)="Yes",NOT(ISNUMBER(VLOOKUP(DATE($B$4,$B$5+$B$3-1,JY7),HolidayList[Date],1,0)))),TRUE,FALSE),FALSE)</f>
        <v>0</v>
      </c>
      <c r="JZ6" s="16" t="b">
        <f>IFERROR(IF(AND(VLOOKUP(JZ8,$NX$33:$NY$45,2,0)="Yes",NOT(ISNUMBER(VLOOKUP(DATE($B$4,$B$5+$B$3-1,JZ7),HolidayList[Date],1,0)))),TRUE,FALSE),FALSE)</f>
        <v>0</v>
      </c>
      <c r="KA6" s="16" t="b">
        <f>IFERROR(IF(AND(VLOOKUP(KA8,$NX$33:$NY$45,2,0)="Yes",NOT(ISNUMBER(VLOOKUP(DATE($B$4,$B$5+$B$3-1,KA7),HolidayList[Date],1,0)))),TRUE,FALSE),FALSE)</f>
        <v>0</v>
      </c>
      <c r="KB6" s="16" t="b">
        <f>IFERROR(IF(AND(VLOOKUP(KB8,$NX$33:$NY$45,2,0)="Yes",NOT(ISNUMBER(VLOOKUP(DATE($B$4,$B$5+$B$3-1,KB7),HolidayList[Date],1,0)))),TRUE,FALSE),FALSE)</f>
        <v>0</v>
      </c>
      <c r="KC6" s="16" t="b">
        <f>IFERROR(IF(AND(VLOOKUP(KC8,$NX$33:$NY$45,2,0)="Yes",NOT(ISNUMBER(VLOOKUP(DATE($B$4,$B$5+$B$3-1,KC7),HolidayList[Date],1,0)))),TRUE,FALSE),FALSE)</f>
        <v>0</v>
      </c>
      <c r="KD6" s="16" t="b">
        <f>IFERROR(IF(AND(VLOOKUP(KD8,$NX$33:$NY$45,2,0)="Yes",NOT(ISNUMBER(VLOOKUP(DATE($B$4,$B$5+$B$3-1,KD7),HolidayList[Date],1,0)))),TRUE,FALSE),FALSE)</f>
        <v>0</v>
      </c>
      <c r="KE6" s="16" t="b">
        <f>IFERROR(IF(AND(VLOOKUP(KE8,$NX$33:$NY$45,2,0)="Yes",NOT(ISNUMBER(VLOOKUP(DATE($B$4,$B$5+$B$3-1,KE7),HolidayList[Date],1,0)))),TRUE,FALSE),FALSE)</f>
        <v>0</v>
      </c>
      <c r="KF6" s="16" t="b">
        <f>IFERROR(IF(AND(VLOOKUP(KF8,$NX$33:$NY$45,2,0)="Yes",NOT(ISNUMBER(VLOOKUP(DATE($B$4,$B$5+$B$3-1,KF7),HolidayList[Date],1,0)))),TRUE,FALSE),FALSE)</f>
        <v>0</v>
      </c>
      <c r="KG6" s="16" t="b">
        <f>IFERROR(IF(AND(VLOOKUP(KG8,$NX$33:$NY$45,2,0)="Yes",NOT(ISNUMBER(VLOOKUP(DATE($B$4,$B$5+$B$3-1,KG7),HolidayList[Date],1,0)))),TRUE,FALSE),FALSE)</f>
        <v>0</v>
      </c>
      <c r="KH6" s="16" t="b">
        <f>IFERROR(IF(AND(VLOOKUP(KH8,$NX$33:$NY$45,2,0)="Yes",NOT(ISNUMBER(VLOOKUP(DATE($B$4,$B$5+$B$3-1,KH7),HolidayList[Date],1,0)))),TRUE,FALSE),FALSE)</f>
        <v>0</v>
      </c>
      <c r="KI6" s="16" t="b">
        <f>IFERROR(IF(AND(VLOOKUP(KI8,$NX$33:$NY$45,2,0)="Yes",NOT(ISNUMBER(VLOOKUP(DATE($B$4,$B$5+$B$3-1,KI7),HolidayList[Date],1,0)))),TRUE,FALSE),FALSE)</f>
        <v>0</v>
      </c>
      <c r="KJ6" s="16" t="b">
        <f>IFERROR(IF(AND(VLOOKUP(KJ8,$NX$33:$NY$45,2,0)="Yes",NOT(ISNUMBER(VLOOKUP(DATE($B$4,$B$5+$B$3-1,KJ7),HolidayList[Date],1,0)))),TRUE,FALSE),FALSE)</f>
        <v>0</v>
      </c>
      <c r="KK6" s="16" t="b">
        <f>IFERROR(IF(AND(VLOOKUP(KK8,$NX$33:$NY$45,2,0)="Yes",NOT(ISNUMBER(VLOOKUP(DATE($B$4,$B$5+$B$3-1,KK7),HolidayList[Date],1,0)))),TRUE,FALSE),FALSE)</f>
        <v>0</v>
      </c>
      <c r="KL6" s="16" t="b">
        <f>IFERROR(IF(AND(VLOOKUP(KL8,$NX$33:$NY$45,2,0)="Yes",NOT(ISNUMBER(VLOOKUP(DATE($B$4,$B$5+$B$3-1,KL7),HolidayList[Date],1,0)))),TRUE,FALSE),FALSE)</f>
        <v>0</v>
      </c>
      <c r="KM6" s="16" t="b">
        <f>IFERROR(IF(AND(VLOOKUP(KM8,$NX$33:$NY$45,2,0)="Yes",NOT(ISNUMBER(VLOOKUP(DATE($B$4,$B$5+$B$3-1,KM7),HolidayList[Date],1,0)))),TRUE,FALSE),FALSE)</f>
        <v>0</v>
      </c>
      <c r="KN6" s="16" t="b">
        <f>IFERROR(IF(AND(VLOOKUP(KN8,$NX$33:$NY$45,2,0)="Yes",NOT(ISNUMBER(VLOOKUP(DATE($B$4,$B$5+$B$3-1,KN7),HolidayList[Date],1,0)))),TRUE,FALSE),FALSE)</f>
        <v>0</v>
      </c>
      <c r="KO6" s="16" t="b">
        <f>IFERROR(IF(AND(VLOOKUP(KO8,$NX$33:$NY$45,2,0)="Yes",NOT(ISNUMBER(VLOOKUP(DATE($B$4,$B$5+$B$3-1,KO7),HolidayList[Date],1,0)))),TRUE,FALSE),FALSE)</f>
        <v>0</v>
      </c>
      <c r="KP6" s="16" t="b">
        <f>IFERROR(IF(AND(VLOOKUP(KP8,$NX$33:$NY$45,2,0)="Yes",NOT(ISNUMBER(VLOOKUP(DATE($B$4,$B$5+$B$3-1,KP7),HolidayList[Date],1,0)))),TRUE,FALSE),FALSE)</f>
        <v>0</v>
      </c>
      <c r="KQ6" s="16" t="b">
        <f>IFERROR(IF(AND(VLOOKUP(KQ8,$NX$33:$NY$45,2,0)="Yes",NOT(ISNUMBER(VLOOKUP(DATE($B$4,$B$5+$B$3-1,KQ7),HolidayList[Date],1,0)))),TRUE,FALSE),FALSE)</f>
        <v>0</v>
      </c>
      <c r="KR6" s="16" t="b">
        <f>IFERROR(IF(AND(VLOOKUP(KR8,$NX$33:$NY$45,2,0)="Yes",NOT(ISNUMBER(VLOOKUP(DATE($B$4,$B$5+$B$3-1,KR7),HolidayList[Date],1,0)))),TRUE,FALSE),FALSE)</f>
        <v>0</v>
      </c>
      <c r="KS6" s="16" t="b">
        <f>IFERROR(IF(AND(VLOOKUP(KS8,$NX$33:$NY$45,2,0)="Yes",NOT(ISNUMBER(VLOOKUP(DATE($B$4,$B$5+$B$3-1,KS7),HolidayList[Date],1,0)))),TRUE,FALSE),FALSE)</f>
        <v>0</v>
      </c>
      <c r="KT6" s="16" t="b">
        <f>IFERROR(IF(AND(VLOOKUP(KT8,$NX$33:$NY$45,2,0)="Yes",NOT(ISNUMBER(VLOOKUP(DATE($B$4,$B$5+$B$3-1,KT7),HolidayList[Date],1,0)))),TRUE,FALSE),FALSE)</f>
        <v>0</v>
      </c>
      <c r="KU6" s="16" t="b">
        <f>IFERROR(IF(AND(VLOOKUP(KU8,$NX$33:$NY$45,2,0)="Yes",NOT(ISNUMBER(VLOOKUP(DATE($B$4,$B$5+$B$3-1,KU7),HolidayList[Date],1,0)))),TRUE,FALSE),FALSE)</f>
        <v>0</v>
      </c>
      <c r="KV6" s="16" t="b">
        <f>IFERROR(IF(AND(VLOOKUP(KV8,$NX$33:$NY$45,2,0)="Yes",NOT(ISNUMBER(VLOOKUP(DATE($B$4,$B$5+$B$3-1,KV7),HolidayList[Date],1,0)))),TRUE,FALSE),FALSE)</f>
        <v>0</v>
      </c>
      <c r="KW6" s="16" t="b">
        <f>IFERROR(IF(AND(VLOOKUP(KW8,$NX$33:$NY$45,2,0)="Yes",NOT(ISNUMBER(VLOOKUP(DATE($B$4,$B$5+$B$3-1,KW7),HolidayList[Date],1,0)))),TRUE,FALSE),FALSE)</f>
        <v>0</v>
      </c>
      <c r="KX6" s="16" t="b">
        <f>IFERROR(IF(AND(VLOOKUP(KX8,$NX$33:$NY$45,2,0)="Yes",NOT(ISNUMBER(VLOOKUP(DATE($B$4,$B$5+$B$3-1,KX7),HolidayList[Date],1,0)))),TRUE,FALSE),FALSE)</f>
        <v>0</v>
      </c>
      <c r="KY6" s="16" t="b">
        <f>IFERROR(IF(AND(VLOOKUP(KY8,$NX$33:$NY$45,2,0)="Yes",NOT(ISNUMBER(VLOOKUP(DATE($B$4,$B$5+$B$3-1,KY7),HolidayList[Date],1,0)))),TRUE,FALSE),FALSE)</f>
        <v>0</v>
      </c>
      <c r="KZ6" s="16" t="b">
        <f>IFERROR(IF(AND(VLOOKUP(KZ8,$NX$33:$NY$45,2,0)="Yes",NOT(ISNUMBER(VLOOKUP(DATE($B$4,$B$5+$B$3-1,KZ7),HolidayList[Date],1,0)))),TRUE,FALSE),FALSE)</f>
        <v>0</v>
      </c>
      <c r="LA6" s="16" t="b">
        <f>IFERROR(IF(AND(VLOOKUP(LA8,$NX$33:$NY$45,2,0)="Yes",NOT(ISNUMBER(VLOOKUP(DATE($B$4,$B$5+$B$3-1,LA7),HolidayList[Date],1,0)))),TRUE,FALSE),FALSE)</f>
        <v>0</v>
      </c>
      <c r="LB6" s="16" t="b">
        <f>IFERROR(IF(AND(VLOOKUP(LB8,$NX$33:$NY$45,2,0)="Yes",NOT(ISNUMBER(VLOOKUP(DATE($B$4,$B$5+$B$3-1,LB7),HolidayList[Date],1,0)))),TRUE,FALSE),FALSE)</f>
        <v>0</v>
      </c>
      <c r="LC6" s="16" t="b">
        <f>IFERROR(IF(AND(VLOOKUP(LC8,$NX$33:$NY$45,2,0)="Yes",NOT(ISNUMBER(VLOOKUP(DATE($B$4,$B$5+$B$3-1,LC7),HolidayList[Date],1,0)))),TRUE,FALSE),FALSE)</f>
        <v>0</v>
      </c>
      <c r="LD6" s="16" t="b">
        <f>IFERROR(IF(AND(VLOOKUP(LD8,$NX$33:$NY$45,2,0)="Yes",NOT(ISNUMBER(VLOOKUP(DATE($B$4,$B$5+$B$3-1,LD7),HolidayList[Date],1,0)))),TRUE,FALSE),FALSE)</f>
        <v>0</v>
      </c>
      <c r="LE6" s="16" t="b">
        <f>IFERROR(IF(AND(VLOOKUP(LE8,$NX$33:$NY$45,2,0)="Yes",NOT(ISNUMBER(VLOOKUP(DATE($B$4,$B$5+$B$3-1,LE7),HolidayList[Date],1,0)))),TRUE,FALSE),FALSE)</f>
        <v>0</v>
      </c>
      <c r="LF6" s="16" t="b">
        <f>IFERROR(IF(AND(VLOOKUP(LF8,$NX$33:$NY$45,2,0)="Yes",NOT(ISNUMBER(VLOOKUP(DATE($B$4,$B$5+$B$3-1,LF7),HolidayList[Date],1,0)))),TRUE,FALSE),FALSE)</f>
        <v>0</v>
      </c>
      <c r="LG6" s="16" t="b">
        <f>IFERROR(IF(AND(VLOOKUP(LG8,$NX$33:$NY$45,2,0)="Yes",NOT(ISNUMBER(VLOOKUP(DATE($B$4,$B$5+$B$3-1,LG7),HolidayList[Date],1,0)))),TRUE,FALSE),FALSE)</f>
        <v>0</v>
      </c>
      <c r="LH6" s="16" t="b">
        <f>IFERROR(IF(AND(VLOOKUP(LH8,$NX$33:$NY$45,2,0)="Yes",NOT(ISNUMBER(VLOOKUP(DATE($B$4,$B$5+$B$3-1,LH7),HolidayList[Date],1,0)))),TRUE,FALSE),FALSE)</f>
        <v>0</v>
      </c>
      <c r="LI6" s="16" t="b">
        <f>IFERROR(IF(AND(VLOOKUP(LI8,$NX$33:$NY$45,2,0)="Yes",NOT(ISNUMBER(VLOOKUP(DATE($B$4,$B$5+$B$3-1,LI7),HolidayList[Date],1,0)))),TRUE,FALSE),FALSE)</f>
        <v>0</v>
      </c>
      <c r="LJ6" s="16" t="b">
        <f>IFERROR(IF(AND(VLOOKUP(LJ8,$NX$33:$NY$45,2,0)="Yes",NOT(ISNUMBER(VLOOKUP(DATE($B$4,$B$5+$B$3-1,LJ7),HolidayList[Date],1,0)))),TRUE,FALSE),FALSE)</f>
        <v>0</v>
      </c>
      <c r="LK6" s="16" t="b">
        <f>IFERROR(IF(AND(VLOOKUP(LK8,$NX$33:$NY$45,2,0)="Yes",NOT(ISNUMBER(VLOOKUP(DATE($B$4,$B$5+$B$3-1,LK7),HolidayList[Date],1,0)))),TRUE,FALSE),FALSE)</f>
        <v>0</v>
      </c>
      <c r="LL6" s="16" t="b">
        <f>IFERROR(IF(AND(VLOOKUP(LL8,$NX$33:$NY$45,2,0)="Yes",NOT(ISNUMBER(VLOOKUP(DATE($B$4,$B$5+$B$3-1,LL7),HolidayList[Date],1,0)))),TRUE,FALSE),FALSE)</f>
        <v>0</v>
      </c>
      <c r="LM6" s="16" t="b">
        <f>IFERROR(IF(AND(VLOOKUP(LM8,$NX$33:$NY$45,2,0)="Yes",NOT(ISNUMBER(VLOOKUP(DATE($B$4,$B$5+$B$3-1,LM7),HolidayList[Date],1,0)))),TRUE,FALSE),FALSE)</f>
        <v>0</v>
      </c>
      <c r="LN6" s="16" t="b">
        <f>IFERROR(IF(AND(VLOOKUP(LN8,$NX$33:$NY$45,2,0)="Yes",NOT(ISNUMBER(VLOOKUP(DATE($B$4,$B$5+$B$3-1,LN7),HolidayList[Date],1,0)))),TRUE,FALSE),FALSE)</f>
        <v>0</v>
      </c>
      <c r="LO6" s="16" t="b">
        <f>IFERROR(IF(AND(VLOOKUP(LO8,$NX$33:$NY$45,2,0)="Yes",NOT(ISNUMBER(VLOOKUP(DATE($B$4,$B$5+$B$3-1,LO7),HolidayList[Date],1,0)))),TRUE,FALSE),FALSE)</f>
        <v>0</v>
      </c>
      <c r="LP6" s="16" t="b">
        <f>IFERROR(IF(AND(VLOOKUP(LP8,$NX$33:$NY$45,2,0)="Yes",NOT(ISNUMBER(VLOOKUP(DATE($B$4,$B$5+$B$3-1,LP7),HolidayList[Date],1,0)))),TRUE,FALSE),FALSE)</f>
        <v>0</v>
      </c>
      <c r="LQ6" s="16" t="b">
        <f>IFERROR(IF(AND(VLOOKUP(LQ8,$NX$33:$NY$45,2,0)="Yes",NOT(ISNUMBER(VLOOKUP(DATE($B$4,$B$5+$B$3-1,LQ7),HolidayList[Date],1,0)))),TRUE,FALSE),FALSE)</f>
        <v>0</v>
      </c>
      <c r="LR6" s="16" t="b">
        <f>IFERROR(IF(AND(VLOOKUP(LR8,$NX$33:$NY$45,2,0)="Yes",NOT(ISNUMBER(VLOOKUP(DATE($B$4,$B$5+$B$3-1,LR7),HolidayList[Date],1,0)))),TRUE,FALSE),FALSE)</f>
        <v>0</v>
      </c>
      <c r="LS6" s="16" t="b">
        <f>IFERROR(IF(AND(VLOOKUP(LS8,$NX$33:$NY$45,2,0)="Yes",NOT(ISNUMBER(VLOOKUP(DATE($B$4,$B$5+$B$3-1,LS7),HolidayList[Date],1,0)))),TRUE,FALSE),FALSE)</f>
        <v>0</v>
      </c>
      <c r="LT6" s="16" t="b">
        <f>IFERROR(IF(AND(VLOOKUP(LT8,$NX$33:$NY$45,2,0)="Yes",NOT(ISNUMBER(VLOOKUP(DATE($B$4,$B$5+$B$3-1,LT7),HolidayList[Date],1,0)))),TRUE,FALSE),FALSE)</f>
        <v>0</v>
      </c>
      <c r="LU6" s="16" t="b">
        <f>IFERROR(IF(AND(VLOOKUP(LU8,$NX$33:$NY$45,2,0)="Yes",NOT(ISNUMBER(VLOOKUP(DATE($B$4,$B$5+$B$3-1,LU7),HolidayList[Date],1,0)))),TRUE,FALSE),FALSE)</f>
        <v>0</v>
      </c>
      <c r="LV6" s="16" t="b">
        <f>IFERROR(IF(AND(VLOOKUP(LV8,$NX$33:$NY$45,2,0)="Yes",NOT(ISNUMBER(VLOOKUP(DATE($B$4,$B$5+$B$3-1,LV7),HolidayList[Date],1,0)))),TRUE,FALSE),FALSE)</f>
        <v>0</v>
      </c>
      <c r="LW6" s="16" t="b">
        <f>IFERROR(IF(AND(VLOOKUP(LW8,$NX$33:$NY$45,2,0)="Yes",NOT(ISNUMBER(VLOOKUP(DATE($B$4,$B$5+$B$3-1,LW7),HolidayList[Date],1,0)))),TRUE,FALSE),FALSE)</f>
        <v>0</v>
      </c>
      <c r="LX6" s="16" t="b">
        <f>IFERROR(IF(AND(VLOOKUP(LX8,$NX$33:$NY$45,2,0)="Yes",NOT(ISNUMBER(VLOOKUP(DATE($B$4,$B$5+$B$3-1,LX7),HolidayList[Date],1,0)))),TRUE,FALSE),FALSE)</f>
        <v>0</v>
      </c>
      <c r="LY6" s="16" t="b">
        <f>IFERROR(IF(AND(VLOOKUP(LY8,$NX$33:$NY$45,2,0)="Yes",NOT(ISNUMBER(VLOOKUP(DATE($B$4,$B$5+$B$3-1,LY7),HolidayList[Date],1,0)))),TRUE,FALSE),FALSE)</f>
        <v>0</v>
      </c>
      <c r="LZ6" s="16" t="b">
        <f>IFERROR(IF(AND(VLOOKUP(LZ8,$NX$33:$NY$45,2,0)="Yes",NOT(ISNUMBER(VLOOKUP(DATE($B$4,$B$5+$B$3-1,LZ7),HolidayList[Date],1,0)))),TRUE,FALSE),FALSE)</f>
        <v>0</v>
      </c>
      <c r="MA6" s="16" t="b">
        <f>IFERROR(IF(AND(VLOOKUP(MA8,$NX$33:$NY$45,2,0)="Yes",NOT(ISNUMBER(VLOOKUP(DATE($B$4,$B$5+$B$3-1,MA7),HolidayList[Date],1,0)))),TRUE,FALSE),FALSE)</f>
        <v>0</v>
      </c>
      <c r="MB6" s="16" t="b">
        <f>IFERROR(IF(AND(VLOOKUP(MB8,$NX$33:$NY$45,2,0)="Yes",NOT(ISNUMBER(VLOOKUP(DATE($B$4,$B$5+$B$3-1,MB7),HolidayList[Date],1,0)))),TRUE,FALSE),FALSE)</f>
        <v>0</v>
      </c>
      <c r="MC6" s="16" t="b">
        <f>IFERROR(IF(AND(VLOOKUP(MC8,$NX$33:$NY$45,2,0)="Yes",NOT(ISNUMBER(VLOOKUP(DATE($B$4,$B$5+$B$3-1,MC7),HolidayList[Date],1,0)))),TRUE,FALSE),FALSE)</f>
        <v>0</v>
      </c>
      <c r="MD6" s="16" t="b">
        <f>IFERROR(IF(AND(VLOOKUP(MD8,$NX$33:$NY$45,2,0)="Yes",NOT(ISNUMBER(VLOOKUP(DATE($B$4,$B$5+$B$3-1,MD7),HolidayList[Date],1,0)))),TRUE,FALSE),FALSE)</f>
        <v>0</v>
      </c>
      <c r="ME6" s="16" t="b">
        <f>IFERROR(IF(AND(VLOOKUP(ME8,$NX$33:$NY$45,2,0)="Yes",NOT(ISNUMBER(VLOOKUP(DATE($B$4,$B$5+$B$3-1,ME7),HolidayList[Date],1,0)))),TRUE,FALSE),FALSE)</f>
        <v>0</v>
      </c>
      <c r="MF6" s="16" t="b">
        <f>IFERROR(IF(AND(VLOOKUP(MF8,$NX$33:$NY$45,2,0)="Yes",NOT(ISNUMBER(VLOOKUP(DATE($B$4,$B$5+$B$3-1,MF7),HolidayList[Date],1,0)))),TRUE,FALSE),FALSE)</f>
        <v>0</v>
      </c>
      <c r="MG6" s="16" t="b">
        <f>IFERROR(IF(AND(VLOOKUP(MG8,$NX$33:$NY$45,2,0)="Yes",NOT(ISNUMBER(VLOOKUP(DATE($B$4,$B$5+$B$3-1,MG7),HolidayList[Date],1,0)))),TRUE,FALSE),FALSE)</f>
        <v>0</v>
      </c>
      <c r="MH6" s="16" t="b">
        <f>IFERROR(IF(AND(VLOOKUP(MH8,$NX$33:$NY$45,2,0)="Yes",NOT(ISNUMBER(VLOOKUP(DATE($B$4,$B$5+$B$3-1,MH7),HolidayList[Date],1,0)))),TRUE,FALSE),FALSE)</f>
        <v>0</v>
      </c>
      <c r="MI6" s="16" t="b">
        <f>IFERROR(IF(AND(VLOOKUP(MI8,$NX$33:$NY$45,2,0)="Yes",NOT(ISNUMBER(VLOOKUP(DATE($B$4,$B$5+$B$3-1,MI7),HolidayList[Date],1,0)))),TRUE,FALSE),FALSE)</f>
        <v>0</v>
      </c>
      <c r="MJ6" s="16" t="b">
        <f>IFERROR(IF(AND(VLOOKUP(MJ8,$NX$33:$NY$45,2,0)="Yes",NOT(ISNUMBER(VLOOKUP(DATE($B$4,$B$5+$B$3-1,MJ7),HolidayList[Date],1,0)))),TRUE,FALSE),FALSE)</f>
        <v>0</v>
      </c>
      <c r="MK6" s="16" t="b">
        <f>IFERROR(IF(AND(VLOOKUP(MK8,$NX$33:$NY$45,2,0)="Yes",NOT(ISNUMBER(VLOOKUP(DATE($B$4,$B$5+$B$3-1,MK7),HolidayList[Date],1,0)))),TRUE,FALSE),FALSE)</f>
        <v>0</v>
      </c>
      <c r="ML6" s="16" t="b">
        <f>IFERROR(IF(AND(VLOOKUP(ML8,$NX$33:$NY$45,2,0)="Yes",NOT(ISNUMBER(VLOOKUP(DATE($B$4,$B$5+$B$3-1,ML7),HolidayList[Date],1,0)))),TRUE,FALSE),FALSE)</f>
        <v>0</v>
      </c>
      <c r="MM6" s="16" t="b">
        <f>IFERROR(IF(AND(VLOOKUP(MM8,$NX$33:$NY$45,2,0)="Yes",NOT(ISNUMBER(VLOOKUP(DATE($B$4,$B$5+$B$3-1,MM7),HolidayList[Date],1,0)))),TRUE,FALSE),FALSE)</f>
        <v>0</v>
      </c>
      <c r="MN6" s="16" t="b">
        <f>IFERROR(IF(AND(VLOOKUP(MN8,$NX$33:$NY$45,2,0)="Yes",NOT(ISNUMBER(VLOOKUP(DATE($B$4,$B$5+$B$3-1,MN7),HolidayList[Date],1,0)))),TRUE,FALSE),FALSE)</f>
        <v>0</v>
      </c>
      <c r="MO6" s="16" t="b">
        <f>IFERROR(IF(AND(VLOOKUP(MO8,$NX$33:$NY$45,2,0)="Yes",NOT(ISNUMBER(VLOOKUP(DATE($B$4,$B$5+$B$3-1,MO7),HolidayList[Date],1,0)))),TRUE,FALSE),FALSE)</f>
        <v>0</v>
      </c>
      <c r="MP6" s="16" t="b">
        <f>IFERROR(IF(AND(VLOOKUP(MP8,$NX$33:$NY$45,2,0)="Yes",NOT(ISNUMBER(VLOOKUP(DATE($B$4,$B$5+$B$3-1,MP7),HolidayList[Date],1,0)))),TRUE,FALSE),FALSE)</f>
        <v>0</v>
      </c>
      <c r="MQ6" s="16" t="b">
        <f>IFERROR(IF(AND(VLOOKUP(MQ8,$NX$33:$NY$45,2,0)="Yes",NOT(ISNUMBER(VLOOKUP(DATE($B$4,$B$5+$B$3-1,MQ7),HolidayList[Date],1,0)))),TRUE,FALSE),FALSE)</f>
        <v>0</v>
      </c>
      <c r="MR6" s="16" t="b">
        <f>IFERROR(IF(AND(VLOOKUP(MR8,$NX$33:$NY$45,2,0)="Yes",NOT(ISNUMBER(VLOOKUP(DATE($B$4,$B$5+$B$3-1,MR7),HolidayList[Date],1,0)))),TRUE,FALSE),FALSE)</f>
        <v>0</v>
      </c>
      <c r="MS6" s="16" t="b">
        <f>IFERROR(IF(AND(VLOOKUP(MS8,$NX$33:$NY$45,2,0)="Yes",NOT(ISNUMBER(VLOOKUP(DATE($B$4,$B$5+$B$3-1,MS7),HolidayList[Date],1,0)))),TRUE,FALSE),FALSE)</f>
        <v>0</v>
      </c>
      <c r="MT6" s="16" t="b">
        <f>IFERROR(IF(AND(VLOOKUP(MT8,$NX$33:$NY$45,2,0)="Yes",NOT(ISNUMBER(VLOOKUP(DATE($B$4,$B$5+$B$3-1,MT7),HolidayList[Date],1,0)))),TRUE,FALSE),FALSE)</f>
        <v>0</v>
      </c>
      <c r="MU6" s="16" t="b">
        <f>IFERROR(IF(AND(VLOOKUP(MU8,$NX$33:$NY$45,2,0)="Yes",NOT(ISNUMBER(VLOOKUP(DATE($B$4,$B$5+$B$3-1,MU7),HolidayList[Date],1,0)))),TRUE,FALSE),FALSE)</f>
        <v>0</v>
      </c>
      <c r="MV6" s="16" t="b">
        <f>IFERROR(IF(AND(VLOOKUP(MV8,$NX$33:$NY$45,2,0)="Yes",NOT(ISNUMBER(VLOOKUP(DATE($B$4,$B$5+$B$3-1,MV7),HolidayList[Date],1,0)))),TRUE,FALSE),FALSE)</f>
        <v>0</v>
      </c>
      <c r="MW6" s="16" t="b">
        <f>IFERROR(IF(AND(VLOOKUP(MW8,$NX$33:$NY$45,2,0)="Yes",NOT(ISNUMBER(VLOOKUP(DATE($B$4,$B$5+$B$3-1,MW7),HolidayList[Date],1,0)))),TRUE,FALSE),FALSE)</f>
        <v>0</v>
      </c>
      <c r="MX6" s="16" t="b">
        <f>IFERROR(IF(AND(VLOOKUP(MX8,$NX$33:$NY$45,2,0)="Yes",NOT(ISNUMBER(VLOOKUP(DATE($B$4,$B$5+$B$3-1,MX7),HolidayList[Date],1,0)))),TRUE,FALSE),FALSE)</f>
        <v>0</v>
      </c>
      <c r="MY6" s="16" t="b">
        <f>IFERROR(IF(AND(VLOOKUP(MY8,$NX$33:$NY$45,2,0)="Yes",NOT(ISNUMBER(VLOOKUP(DATE($B$4,$B$5+$B$3-1,MY7),HolidayList[Date],1,0)))),TRUE,FALSE),FALSE)</f>
        <v>0</v>
      </c>
      <c r="MZ6" s="16" t="b">
        <f>IFERROR(IF(AND(VLOOKUP(MZ8,$NX$33:$NY$45,2,0)="Yes",NOT(ISNUMBER(VLOOKUP(DATE($B$4,$B$5+$B$3-1,MZ7),HolidayList[Date],1,0)))),TRUE,FALSE),FALSE)</f>
        <v>0</v>
      </c>
      <c r="NA6" s="16" t="b">
        <f>IFERROR(IF(AND(VLOOKUP(NA8,$NX$33:$NY$45,2,0)="Yes",NOT(ISNUMBER(VLOOKUP(DATE($B$4,$B$5+$B$3-1,NA7),HolidayList[Date],1,0)))),TRUE,FALSE),FALSE)</f>
        <v>0</v>
      </c>
      <c r="NB6" s="16" t="b">
        <f>IFERROR(IF(AND(VLOOKUP(NB8,$NX$33:$NY$45,2,0)="Yes",NOT(ISNUMBER(VLOOKUP(DATE($B$4,$B$5+$B$3-1,NB7),HolidayList[Date],1,0)))),TRUE,FALSE),FALSE)</f>
        <v>0</v>
      </c>
      <c r="NC6" s="16" t="b">
        <f>IFERROR(IF(AND(VLOOKUP(NC8,$NX$33:$NY$45,2,0)="Yes",NOT(ISNUMBER(VLOOKUP(DATE($B$4,$B$5+$B$3-1,NC7),HolidayList[Date],1,0)))),TRUE,FALSE),FALSE)</f>
        <v>0</v>
      </c>
      <c r="ND6" s="16" t="b">
        <f>IFERROR(IF(AND(VLOOKUP(ND8,$NX$33:$NY$45,2,0)="Yes",NOT(ISNUMBER(VLOOKUP(DATE($B$4,$B$5+$B$3-1,ND7),HolidayList[Date],1,0)))),TRUE,FALSE),FALSE)</f>
        <v>0</v>
      </c>
      <c r="NE6" s="16" t="b">
        <f>IFERROR(IF(AND(VLOOKUP(NE8,$NX$33:$NY$45,2,0)="Yes",NOT(ISNUMBER(VLOOKUP(DATE($B$4,$B$5+$B$3-1,NE7),HolidayList[Date],1,0)))),TRUE,FALSE),FALSE)</f>
        <v>0</v>
      </c>
      <c r="NF6" s="16" t="b">
        <f>IFERROR(IF(AND(VLOOKUP(NF8,$NX$33:$NY$45,2,0)="Yes",NOT(ISNUMBER(VLOOKUP(DATE($B$4,$B$5+$B$3-1,NF7),HolidayList[Date],1,0)))),TRUE,FALSE),FALSE)</f>
        <v>0</v>
      </c>
      <c r="NG6" s="16" t="b">
        <f>IFERROR(IF(AND(VLOOKUP(NG8,$NX$33:$NY$45,2,0)="Yes",NOT(ISNUMBER(VLOOKUP(DATE($B$4,$B$5+$B$3-1,NG7),HolidayList[Date],1,0)))),TRUE,FALSE),FALSE)</f>
        <v>0</v>
      </c>
      <c r="NH6" s="16" t="b">
        <f>IFERROR(IF(AND(VLOOKUP(NH8,$NX$33:$NY$45,2,0)="Yes",NOT(ISNUMBER(VLOOKUP(DATE($B$4,$B$5+$B$3-1,NH7),HolidayList[Date],1,0)))),TRUE,FALSE),FALSE)</f>
        <v>0</v>
      </c>
      <c r="NI6" s="16" t="b">
        <f>IFERROR(IF(AND(VLOOKUP(NI8,$NX$33:$NY$45,2,0)="Yes",NOT(ISNUMBER(VLOOKUP(DATE($B$4,$B$5+$B$3-1,NI7),HolidayList[Date],1,0)))),TRUE,FALSE),FALSE)</f>
        <v>0</v>
      </c>
      <c r="NJ6" s="16" t="b">
        <f>IFERROR(IF(AND(VLOOKUP(NJ8,$NX$33:$NY$45,2,0)="Yes",NOT(ISNUMBER(VLOOKUP(DATE($B$4,$B$5+$B$3-1,NJ7),HolidayList[Date],1,0)))),TRUE,FALSE),FALSE)</f>
        <v>1</v>
      </c>
      <c r="NM6" s="86" t="s">
        <v>34</v>
      </c>
      <c r="NN6" s="87"/>
      <c r="NO6" s="87"/>
      <c r="NP6" s="87"/>
      <c r="NQ6" s="87"/>
      <c r="NR6" s="87"/>
      <c r="NS6" s="87"/>
    </row>
    <row r="7" spans="1:762" x14ac:dyDescent="0.35">
      <c r="B7" s="25"/>
      <c r="C7" s="26">
        <f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>2</v>
      </c>
      <c r="D7" s="26">
        <f t="shared" ref="D7:BO7" si="0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>3</v>
      </c>
      <c r="E7" s="26">
        <f t="shared" si="0"/>
        <v>4</v>
      </c>
      <c r="F7" s="26">
        <f t="shared" si="0"/>
        <v>5</v>
      </c>
      <c r="G7" s="26">
        <f t="shared" si="0"/>
        <v>6</v>
      </c>
      <c r="H7" s="26">
        <f t="shared" si="0"/>
        <v>7</v>
      </c>
      <c r="I7" s="26">
        <f t="shared" si="0"/>
        <v>8</v>
      </c>
      <c r="J7" s="26">
        <f t="shared" si="0"/>
        <v>9</v>
      </c>
      <c r="K7" s="26">
        <f t="shared" si="0"/>
        <v>10</v>
      </c>
      <c r="L7" s="26">
        <f t="shared" si="0"/>
        <v>11</v>
      </c>
      <c r="M7" s="26">
        <f t="shared" si="0"/>
        <v>12</v>
      </c>
      <c r="N7" s="26">
        <f t="shared" si="0"/>
        <v>13</v>
      </c>
      <c r="O7" s="26">
        <f t="shared" si="0"/>
        <v>14</v>
      </c>
      <c r="P7" s="26">
        <f t="shared" si="0"/>
        <v>15</v>
      </c>
      <c r="Q7" s="26">
        <f t="shared" si="0"/>
        <v>16</v>
      </c>
      <c r="R7" s="26">
        <f t="shared" si="0"/>
        <v>17</v>
      </c>
      <c r="S7" s="26">
        <f t="shared" si="0"/>
        <v>18</v>
      </c>
      <c r="T7" s="26">
        <f t="shared" si="0"/>
        <v>19</v>
      </c>
      <c r="U7" s="26">
        <f t="shared" si="0"/>
        <v>20</v>
      </c>
      <c r="V7" s="26">
        <f t="shared" si="0"/>
        <v>21</v>
      </c>
      <c r="W7" s="26">
        <f t="shared" si="0"/>
        <v>22</v>
      </c>
      <c r="X7" s="26">
        <f t="shared" si="0"/>
        <v>23</v>
      </c>
      <c r="Y7" s="26">
        <f t="shared" si="0"/>
        <v>24</v>
      </c>
      <c r="Z7" s="26">
        <f t="shared" si="0"/>
        <v>25</v>
      </c>
      <c r="AA7" s="26">
        <f t="shared" si="0"/>
        <v>26</v>
      </c>
      <c r="AB7" s="26">
        <f t="shared" si="0"/>
        <v>27</v>
      </c>
      <c r="AC7" s="26">
        <f t="shared" si="0"/>
        <v>28</v>
      </c>
      <c r="AD7" s="26">
        <f t="shared" si="0"/>
        <v>29</v>
      </c>
      <c r="AE7" s="26">
        <f t="shared" si="0"/>
        <v>30</v>
      </c>
      <c r="AF7" s="26">
        <f t="shared" si="0"/>
        <v>31</v>
      </c>
      <c r="AG7" s="26" t="str">
        <f t="shared" si="0"/>
        <v/>
      </c>
      <c r="AH7" s="7" t="str">
        <f t="shared" si="0"/>
        <v/>
      </c>
      <c r="AI7" s="7" t="str">
        <f t="shared" si="0"/>
        <v/>
      </c>
      <c r="AJ7" s="7" t="str">
        <f t="shared" si="0"/>
        <v/>
      </c>
      <c r="AK7" s="7" t="str">
        <f t="shared" si="0"/>
        <v/>
      </c>
      <c r="AL7" s="7" t="str">
        <f t="shared" si="0"/>
        <v/>
      </c>
      <c r="AM7" s="7" t="str">
        <f t="shared" si="0"/>
        <v/>
      </c>
      <c r="AN7" s="7" t="str">
        <f t="shared" si="0"/>
        <v/>
      </c>
      <c r="AO7" s="7" t="str">
        <f t="shared" si="0"/>
        <v/>
      </c>
      <c r="AP7" s="7" t="str">
        <f t="shared" si="0"/>
        <v/>
      </c>
      <c r="AQ7" s="7" t="str">
        <f t="shared" si="0"/>
        <v/>
      </c>
      <c r="AR7" s="7" t="str">
        <f t="shared" si="0"/>
        <v/>
      </c>
      <c r="AS7" s="7" t="str">
        <f t="shared" si="0"/>
        <v/>
      </c>
      <c r="AT7" s="7" t="str">
        <f t="shared" si="0"/>
        <v/>
      </c>
      <c r="AU7" s="7" t="str">
        <f t="shared" si="0"/>
        <v/>
      </c>
      <c r="AV7" s="7" t="str">
        <f t="shared" si="0"/>
        <v/>
      </c>
      <c r="AW7" s="7" t="str">
        <f t="shared" si="0"/>
        <v/>
      </c>
      <c r="AX7" s="7" t="str">
        <f t="shared" si="0"/>
        <v/>
      </c>
      <c r="AY7" s="7" t="str">
        <f t="shared" si="0"/>
        <v/>
      </c>
      <c r="AZ7" s="7" t="str">
        <f t="shared" si="0"/>
        <v/>
      </c>
      <c r="BA7" s="7" t="str">
        <f t="shared" si="0"/>
        <v/>
      </c>
      <c r="BB7" s="7" t="str">
        <f t="shared" si="0"/>
        <v/>
      </c>
      <c r="BC7" s="7" t="str">
        <f t="shared" si="0"/>
        <v/>
      </c>
      <c r="BD7" s="7" t="str">
        <f t="shared" si="0"/>
        <v/>
      </c>
      <c r="BE7" s="7" t="str">
        <f t="shared" si="0"/>
        <v/>
      </c>
      <c r="BF7" s="7" t="str">
        <f t="shared" si="0"/>
        <v/>
      </c>
      <c r="BG7" s="7" t="str">
        <f t="shared" si="0"/>
        <v/>
      </c>
      <c r="BH7" s="7" t="str">
        <f t="shared" si="0"/>
        <v/>
      </c>
      <c r="BI7" s="7" t="str">
        <f t="shared" si="0"/>
        <v/>
      </c>
      <c r="BJ7" s="7" t="str">
        <f t="shared" si="0"/>
        <v/>
      </c>
      <c r="BK7" s="7" t="str">
        <f t="shared" si="0"/>
        <v/>
      </c>
      <c r="BL7" s="7" t="str">
        <f t="shared" si="0"/>
        <v/>
      </c>
      <c r="BM7" s="7" t="str">
        <f t="shared" si="0"/>
        <v/>
      </c>
      <c r="BN7" s="7" t="str">
        <f t="shared" si="0"/>
        <v/>
      </c>
      <c r="BO7" s="7" t="str">
        <f t="shared" si="0"/>
        <v/>
      </c>
      <c r="BP7" s="7" t="str">
        <f t="shared" ref="BP7:EA7" si="1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BQ7" s="7" t="str">
        <f t="shared" si="1"/>
        <v/>
      </c>
      <c r="BR7" s="7" t="str">
        <f t="shared" si="1"/>
        <v/>
      </c>
      <c r="BS7" s="7" t="str">
        <f t="shared" si="1"/>
        <v/>
      </c>
      <c r="BT7" s="7" t="str">
        <f t="shared" si="1"/>
        <v/>
      </c>
      <c r="BU7" s="7" t="str">
        <f t="shared" si="1"/>
        <v/>
      </c>
      <c r="BV7" s="7" t="str">
        <f t="shared" si="1"/>
        <v/>
      </c>
      <c r="BW7" s="7" t="str">
        <f t="shared" si="1"/>
        <v/>
      </c>
      <c r="BX7" s="7" t="str">
        <f t="shared" si="1"/>
        <v/>
      </c>
      <c r="BY7" s="7" t="str">
        <f t="shared" si="1"/>
        <v/>
      </c>
      <c r="BZ7" s="7" t="str">
        <f t="shared" si="1"/>
        <v/>
      </c>
      <c r="CA7" s="7" t="str">
        <f t="shared" si="1"/>
        <v/>
      </c>
      <c r="CB7" s="7" t="str">
        <f t="shared" si="1"/>
        <v/>
      </c>
      <c r="CC7" s="7" t="str">
        <f t="shared" si="1"/>
        <v/>
      </c>
      <c r="CD7" s="7" t="str">
        <f t="shared" si="1"/>
        <v/>
      </c>
      <c r="CE7" s="7" t="str">
        <f t="shared" si="1"/>
        <v/>
      </c>
      <c r="CF7" s="7" t="str">
        <f t="shared" si="1"/>
        <v/>
      </c>
      <c r="CG7" s="7" t="str">
        <f t="shared" si="1"/>
        <v/>
      </c>
      <c r="CH7" s="7" t="str">
        <f t="shared" si="1"/>
        <v/>
      </c>
      <c r="CI7" s="7" t="str">
        <f t="shared" si="1"/>
        <v/>
      </c>
      <c r="CJ7" s="7" t="str">
        <f t="shared" si="1"/>
        <v/>
      </c>
      <c r="CK7" s="7" t="str">
        <f t="shared" si="1"/>
        <v/>
      </c>
      <c r="CL7" s="7" t="str">
        <f t="shared" si="1"/>
        <v/>
      </c>
      <c r="CM7" s="7" t="str">
        <f t="shared" si="1"/>
        <v/>
      </c>
      <c r="CN7" s="7" t="str">
        <f t="shared" si="1"/>
        <v/>
      </c>
      <c r="CO7" s="7" t="str">
        <f t="shared" si="1"/>
        <v/>
      </c>
      <c r="CP7" s="7" t="str">
        <f t="shared" si="1"/>
        <v/>
      </c>
      <c r="CQ7" s="7" t="str">
        <f t="shared" si="1"/>
        <v/>
      </c>
      <c r="CR7" s="7" t="str">
        <f t="shared" si="1"/>
        <v/>
      </c>
      <c r="CS7" s="7" t="str">
        <f t="shared" si="1"/>
        <v/>
      </c>
      <c r="CT7" s="7" t="str">
        <f t="shared" si="1"/>
        <v/>
      </c>
      <c r="CU7" s="7" t="str">
        <f t="shared" si="1"/>
        <v/>
      </c>
      <c r="CV7" s="7" t="str">
        <f t="shared" si="1"/>
        <v/>
      </c>
      <c r="CW7" s="7" t="str">
        <f t="shared" si="1"/>
        <v/>
      </c>
      <c r="CX7" s="7" t="str">
        <f t="shared" si="1"/>
        <v/>
      </c>
      <c r="CY7" s="7" t="str">
        <f t="shared" si="1"/>
        <v/>
      </c>
      <c r="CZ7" s="7" t="str">
        <f t="shared" si="1"/>
        <v/>
      </c>
      <c r="DA7" s="7" t="str">
        <f t="shared" si="1"/>
        <v/>
      </c>
      <c r="DB7" s="7" t="str">
        <f t="shared" si="1"/>
        <v/>
      </c>
      <c r="DC7" s="7" t="str">
        <f t="shared" si="1"/>
        <v/>
      </c>
      <c r="DD7" s="7" t="str">
        <f t="shared" si="1"/>
        <v/>
      </c>
      <c r="DE7" s="7" t="str">
        <f t="shared" si="1"/>
        <v/>
      </c>
      <c r="DF7" s="7" t="str">
        <f t="shared" si="1"/>
        <v/>
      </c>
      <c r="DG7" s="7" t="str">
        <f t="shared" si="1"/>
        <v/>
      </c>
      <c r="DH7" s="7" t="str">
        <f t="shared" si="1"/>
        <v/>
      </c>
      <c r="DI7" s="7" t="str">
        <f t="shared" si="1"/>
        <v/>
      </c>
      <c r="DJ7" s="7" t="str">
        <f t="shared" si="1"/>
        <v/>
      </c>
      <c r="DK7" s="7" t="str">
        <f t="shared" si="1"/>
        <v/>
      </c>
      <c r="DL7" s="7" t="str">
        <f t="shared" si="1"/>
        <v/>
      </c>
      <c r="DM7" s="7" t="str">
        <f t="shared" si="1"/>
        <v/>
      </c>
      <c r="DN7" s="7" t="str">
        <f t="shared" si="1"/>
        <v/>
      </c>
      <c r="DO7" s="7" t="str">
        <f t="shared" si="1"/>
        <v/>
      </c>
      <c r="DP7" s="7" t="str">
        <f t="shared" si="1"/>
        <v/>
      </c>
      <c r="DQ7" s="7" t="str">
        <f t="shared" si="1"/>
        <v/>
      </c>
      <c r="DR7" s="7" t="str">
        <f t="shared" si="1"/>
        <v/>
      </c>
      <c r="DS7" s="7" t="str">
        <f t="shared" si="1"/>
        <v/>
      </c>
      <c r="DT7" s="7" t="str">
        <f t="shared" si="1"/>
        <v/>
      </c>
      <c r="DU7" s="7" t="str">
        <f t="shared" si="1"/>
        <v/>
      </c>
      <c r="DV7" s="7" t="str">
        <f t="shared" si="1"/>
        <v/>
      </c>
      <c r="DW7" s="7" t="str">
        <f t="shared" si="1"/>
        <v/>
      </c>
      <c r="DX7" s="7" t="str">
        <f t="shared" si="1"/>
        <v/>
      </c>
      <c r="DY7" s="7" t="str">
        <f t="shared" si="1"/>
        <v/>
      </c>
      <c r="DZ7" s="7" t="str">
        <f t="shared" si="1"/>
        <v/>
      </c>
      <c r="EA7" s="7" t="str">
        <f t="shared" si="1"/>
        <v/>
      </c>
      <c r="EB7" s="7" t="str">
        <f t="shared" ref="EB7:GM7" si="2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EC7" s="7" t="str">
        <f t="shared" si="2"/>
        <v/>
      </c>
      <c r="ED7" s="7" t="str">
        <f t="shared" si="2"/>
        <v/>
      </c>
      <c r="EE7" s="7" t="str">
        <f t="shared" si="2"/>
        <v/>
      </c>
      <c r="EF7" s="7" t="str">
        <f t="shared" si="2"/>
        <v/>
      </c>
      <c r="EG7" s="7" t="str">
        <f t="shared" si="2"/>
        <v/>
      </c>
      <c r="EH7" s="7" t="str">
        <f t="shared" si="2"/>
        <v/>
      </c>
      <c r="EI7" s="7" t="str">
        <f t="shared" si="2"/>
        <v/>
      </c>
      <c r="EJ7" s="7" t="str">
        <f t="shared" si="2"/>
        <v/>
      </c>
      <c r="EK7" s="7" t="str">
        <f t="shared" si="2"/>
        <v/>
      </c>
      <c r="EL7" s="7" t="str">
        <f t="shared" si="2"/>
        <v/>
      </c>
      <c r="EM7" s="7" t="str">
        <f t="shared" si="2"/>
        <v/>
      </c>
      <c r="EN7" s="7" t="str">
        <f t="shared" si="2"/>
        <v/>
      </c>
      <c r="EO7" s="7" t="str">
        <f t="shared" si="2"/>
        <v/>
      </c>
      <c r="EP7" s="7" t="str">
        <f t="shared" si="2"/>
        <v/>
      </c>
      <c r="EQ7" s="7" t="str">
        <f t="shared" si="2"/>
        <v/>
      </c>
      <c r="ER7" s="7" t="str">
        <f t="shared" si="2"/>
        <v/>
      </c>
      <c r="ES7" s="7" t="str">
        <f t="shared" si="2"/>
        <v/>
      </c>
      <c r="ET7" s="7" t="str">
        <f t="shared" si="2"/>
        <v/>
      </c>
      <c r="EU7" s="7" t="str">
        <f t="shared" si="2"/>
        <v/>
      </c>
      <c r="EV7" s="7" t="str">
        <f t="shared" si="2"/>
        <v/>
      </c>
      <c r="EW7" s="7" t="str">
        <f t="shared" si="2"/>
        <v/>
      </c>
      <c r="EX7" s="7" t="str">
        <f t="shared" si="2"/>
        <v/>
      </c>
      <c r="EY7" s="7" t="str">
        <f t="shared" si="2"/>
        <v/>
      </c>
      <c r="EZ7" s="7" t="str">
        <f t="shared" si="2"/>
        <v/>
      </c>
      <c r="FA7" s="7" t="str">
        <f t="shared" si="2"/>
        <v/>
      </c>
      <c r="FB7" s="7" t="str">
        <f t="shared" si="2"/>
        <v/>
      </c>
      <c r="FC7" s="7" t="str">
        <f t="shared" si="2"/>
        <v/>
      </c>
      <c r="FD7" s="7" t="str">
        <f t="shared" si="2"/>
        <v/>
      </c>
      <c r="FE7" s="7" t="str">
        <f t="shared" si="2"/>
        <v/>
      </c>
      <c r="FF7" s="7" t="str">
        <f t="shared" si="2"/>
        <v/>
      </c>
      <c r="FG7" s="7" t="str">
        <f t="shared" si="2"/>
        <v/>
      </c>
      <c r="FH7" s="7" t="str">
        <f t="shared" si="2"/>
        <v/>
      </c>
      <c r="FI7" s="7" t="str">
        <f t="shared" si="2"/>
        <v/>
      </c>
      <c r="FJ7" s="7" t="str">
        <f t="shared" si="2"/>
        <v/>
      </c>
      <c r="FK7" s="7" t="str">
        <f t="shared" si="2"/>
        <v/>
      </c>
      <c r="FL7" s="7" t="str">
        <f t="shared" si="2"/>
        <v/>
      </c>
      <c r="FM7" s="7" t="str">
        <f t="shared" si="2"/>
        <v/>
      </c>
      <c r="FN7" s="7" t="str">
        <f t="shared" si="2"/>
        <v/>
      </c>
      <c r="FO7" s="7" t="str">
        <f t="shared" si="2"/>
        <v/>
      </c>
      <c r="FP7" s="7" t="str">
        <f t="shared" si="2"/>
        <v/>
      </c>
      <c r="FQ7" s="7" t="str">
        <f t="shared" si="2"/>
        <v/>
      </c>
      <c r="FR7" s="7" t="str">
        <f t="shared" si="2"/>
        <v/>
      </c>
      <c r="FS7" s="7" t="str">
        <f t="shared" si="2"/>
        <v/>
      </c>
      <c r="FT7" s="7" t="str">
        <f t="shared" si="2"/>
        <v/>
      </c>
      <c r="FU7" s="7" t="str">
        <f t="shared" si="2"/>
        <v/>
      </c>
      <c r="FV7" s="7" t="str">
        <f t="shared" si="2"/>
        <v/>
      </c>
      <c r="FW7" s="7" t="str">
        <f t="shared" si="2"/>
        <v/>
      </c>
      <c r="FX7" s="7" t="str">
        <f t="shared" si="2"/>
        <v/>
      </c>
      <c r="FY7" s="7" t="str">
        <f t="shared" si="2"/>
        <v/>
      </c>
      <c r="FZ7" s="7" t="str">
        <f t="shared" si="2"/>
        <v/>
      </c>
      <c r="GA7" s="7" t="str">
        <f t="shared" si="2"/>
        <v/>
      </c>
      <c r="GB7" s="7" t="str">
        <f t="shared" si="2"/>
        <v/>
      </c>
      <c r="GC7" s="7" t="str">
        <f t="shared" si="2"/>
        <v/>
      </c>
      <c r="GD7" s="7" t="str">
        <f t="shared" si="2"/>
        <v/>
      </c>
      <c r="GE7" s="7" t="str">
        <f t="shared" si="2"/>
        <v/>
      </c>
      <c r="GF7" s="7" t="str">
        <f t="shared" si="2"/>
        <v/>
      </c>
      <c r="GG7" s="7" t="str">
        <f t="shared" si="2"/>
        <v/>
      </c>
      <c r="GH7" s="7" t="str">
        <f t="shared" si="2"/>
        <v/>
      </c>
      <c r="GI7" s="7" t="str">
        <f t="shared" si="2"/>
        <v/>
      </c>
      <c r="GJ7" s="7" t="str">
        <f t="shared" si="2"/>
        <v/>
      </c>
      <c r="GK7" s="7" t="str">
        <f t="shared" si="2"/>
        <v/>
      </c>
      <c r="GL7" s="7" t="str">
        <f t="shared" si="2"/>
        <v/>
      </c>
      <c r="GM7" s="7" t="str">
        <f t="shared" si="2"/>
        <v/>
      </c>
      <c r="GN7" s="7" t="str">
        <f t="shared" ref="GN7:IY7" si="3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GO7" s="7" t="str">
        <f t="shared" si="3"/>
        <v/>
      </c>
      <c r="GP7" s="7" t="str">
        <f t="shared" si="3"/>
        <v/>
      </c>
      <c r="GQ7" s="7" t="str">
        <f t="shared" si="3"/>
        <v/>
      </c>
      <c r="GR7" s="7" t="str">
        <f t="shared" si="3"/>
        <v/>
      </c>
      <c r="GS7" s="7" t="str">
        <f t="shared" si="3"/>
        <v/>
      </c>
      <c r="GT7" s="7" t="str">
        <f t="shared" si="3"/>
        <v/>
      </c>
      <c r="GU7" s="7" t="str">
        <f t="shared" si="3"/>
        <v/>
      </c>
      <c r="GV7" s="7" t="str">
        <f t="shared" si="3"/>
        <v/>
      </c>
      <c r="GW7" s="7" t="str">
        <f t="shared" si="3"/>
        <v/>
      </c>
      <c r="GX7" s="7" t="str">
        <f t="shared" si="3"/>
        <v/>
      </c>
      <c r="GY7" s="7" t="str">
        <f t="shared" si="3"/>
        <v/>
      </c>
      <c r="GZ7" s="7" t="str">
        <f t="shared" si="3"/>
        <v/>
      </c>
      <c r="HA7" s="7" t="str">
        <f t="shared" si="3"/>
        <v/>
      </c>
      <c r="HB7" s="7" t="str">
        <f t="shared" si="3"/>
        <v/>
      </c>
      <c r="HC7" s="7" t="str">
        <f t="shared" si="3"/>
        <v/>
      </c>
      <c r="HD7" s="7" t="str">
        <f t="shared" si="3"/>
        <v/>
      </c>
      <c r="HE7" s="7" t="str">
        <f t="shared" si="3"/>
        <v/>
      </c>
      <c r="HF7" s="7" t="str">
        <f t="shared" si="3"/>
        <v/>
      </c>
      <c r="HG7" s="7" t="str">
        <f t="shared" si="3"/>
        <v/>
      </c>
      <c r="HH7" s="7" t="str">
        <f t="shared" si="3"/>
        <v/>
      </c>
      <c r="HI7" s="7" t="str">
        <f t="shared" si="3"/>
        <v/>
      </c>
      <c r="HJ7" s="7" t="str">
        <f t="shared" si="3"/>
        <v/>
      </c>
      <c r="HK7" s="7" t="str">
        <f t="shared" si="3"/>
        <v/>
      </c>
      <c r="HL7" s="7" t="str">
        <f t="shared" si="3"/>
        <v/>
      </c>
      <c r="HM7" s="7" t="str">
        <f t="shared" si="3"/>
        <v/>
      </c>
      <c r="HN7" s="7" t="str">
        <f t="shared" si="3"/>
        <v/>
      </c>
      <c r="HO7" s="7" t="str">
        <f t="shared" si="3"/>
        <v/>
      </c>
      <c r="HP7" s="7" t="str">
        <f t="shared" si="3"/>
        <v/>
      </c>
      <c r="HQ7" s="7" t="str">
        <f t="shared" si="3"/>
        <v/>
      </c>
      <c r="HR7" s="7" t="str">
        <f t="shared" si="3"/>
        <v/>
      </c>
      <c r="HS7" s="7" t="str">
        <f t="shared" si="3"/>
        <v/>
      </c>
      <c r="HT7" s="7" t="str">
        <f t="shared" si="3"/>
        <v/>
      </c>
      <c r="HU7" s="7" t="str">
        <f t="shared" si="3"/>
        <v/>
      </c>
      <c r="HV7" s="7" t="str">
        <f t="shared" si="3"/>
        <v/>
      </c>
      <c r="HW7" s="7" t="str">
        <f t="shared" si="3"/>
        <v/>
      </c>
      <c r="HX7" s="7" t="str">
        <f t="shared" si="3"/>
        <v/>
      </c>
      <c r="HY7" s="7" t="str">
        <f t="shared" si="3"/>
        <v/>
      </c>
      <c r="HZ7" s="7" t="str">
        <f t="shared" si="3"/>
        <v/>
      </c>
      <c r="IA7" s="7" t="str">
        <f t="shared" si="3"/>
        <v/>
      </c>
      <c r="IB7" s="7" t="str">
        <f t="shared" si="3"/>
        <v/>
      </c>
      <c r="IC7" s="7" t="str">
        <f t="shared" si="3"/>
        <v/>
      </c>
      <c r="ID7" s="7" t="str">
        <f t="shared" si="3"/>
        <v/>
      </c>
      <c r="IE7" s="7" t="str">
        <f t="shared" si="3"/>
        <v/>
      </c>
      <c r="IF7" s="7" t="str">
        <f t="shared" si="3"/>
        <v/>
      </c>
      <c r="IG7" s="7" t="str">
        <f t="shared" si="3"/>
        <v/>
      </c>
      <c r="IH7" s="7" t="str">
        <f t="shared" si="3"/>
        <v/>
      </c>
      <c r="II7" s="7" t="str">
        <f t="shared" si="3"/>
        <v/>
      </c>
      <c r="IJ7" s="7" t="str">
        <f t="shared" si="3"/>
        <v/>
      </c>
      <c r="IK7" s="7" t="str">
        <f t="shared" si="3"/>
        <v/>
      </c>
      <c r="IL7" s="7" t="str">
        <f t="shared" si="3"/>
        <v/>
      </c>
      <c r="IM7" s="7" t="str">
        <f t="shared" si="3"/>
        <v/>
      </c>
      <c r="IN7" s="7" t="str">
        <f t="shared" si="3"/>
        <v/>
      </c>
      <c r="IO7" s="7" t="str">
        <f t="shared" si="3"/>
        <v/>
      </c>
      <c r="IP7" s="7" t="str">
        <f t="shared" si="3"/>
        <v/>
      </c>
      <c r="IQ7" s="7" t="str">
        <f t="shared" si="3"/>
        <v/>
      </c>
      <c r="IR7" s="7" t="str">
        <f t="shared" si="3"/>
        <v/>
      </c>
      <c r="IS7" s="7" t="str">
        <f t="shared" si="3"/>
        <v/>
      </c>
      <c r="IT7" s="7" t="str">
        <f t="shared" si="3"/>
        <v/>
      </c>
      <c r="IU7" s="7" t="str">
        <f t="shared" si="3"/>
        <v/>
      </c>
      <c r="IV7" s="7" t="str">
        <f t="shared" si="3"/>
        <v/>
      </c>
      <c r="IW7" s="7" t="str">
        <f t="shared" si="3"/>
        <v/>
      </c>
      <c r="IX7" s="7" t="str">
        <f t="shared" si="3"/>
        <v/>
      </c>
      <c r="IY7" s="7" t="str">
        <f t="shared" si="3"/>
        <v/>
      </c>
      <c r="IZ7" s="7" t="str">
        <f t="shared" ref="IZ7:LK7" si="4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JA7" s="7" t="str">
        <f t="shared" si="4"/>
        <v/>
      </c>
      <c r="JB7" s="7" t="str">
        <f t="shared" si="4"/>
        <v/>
      </c>
      <c r="JC7" s="7" t="str">
        <f t="shared" si="4"/>
        <v/>
      </c>
      <c r="JD7" s="7" t="str">
        <f t="shared" si="4"/>
        <v/>
      </c>
      <c r="JE7" s="7" t="str">
        <f t="shared" si="4"/>
        <v/>
      </c>
      <c r="JF7" s="7" t="str">
        <f t="shared" si="4"/>
        <v/>
      </c>
      <c r="JG7" s="7" t="str">
        <f t="shared" si="4"/>
        <v/>
      </c>
      <c r="JH7" s="7" t="str">
        <f t="shared" si="4"/>
        <v/>
      </c>
      <c r="JI7" s="7" t="str">
        <f t="shared" si="4"/>
        <v/>
      </c>
      <c r="JJ7" s="7" t="str">
        <f t="shared" si="4"/>
        <v/>
      </c>
      <c r="JK7" s="7" t="str">
        <f t="shared" si="4"/>
        <v/>
      </c>
      <c r="JL7" s="7" t="str">
        <f t="shared" si="4"/>
        <v/>
      </c>
      <c r="JM7" s="7" t="str">
        <f t="shared" si="4"/>
        <v/>
      </c>
      <c r="JN7" s="7" t="str">
        <f t="shared" si="4"/>
        <v/>
      </c>
      <c r="JO7" s="7" t="str">
        <f t="shared" si="4"/>
        <v/>
      </c>
      <c r="JP7" s="7" t="str">
        <f t="shared" si="4"/>
        <v/>
      </c>
      <c r="JQ7" s="7" t="str">
        <f t="shared" si="4"/>
        <v/>
      </c>
      <c r="JR7" s="7" t="str">
        <f t="shared" si="4"/>
        <v/>
      </c>
      <c r="JS7" s="7" t="str">
        <f t="shared" si="4"/>
        <v/>
      </c>
      <c r="JT7" s="7" t="str">
        <f t="shared" si="4"/>
        <v/>
      </c>
      <c r="JU7" s="7" t="str">
        <f t="shared" si="4"/>
        <v/>
      </c>
      <c r="JV7" s="7" t="str">
        <f t="shared" si="4"/>
        <v/>
      </c>
      <c r="JW7" s="7" t="str">
        <f t="shared" si="4"/>
        <v/>
      </c>
      <c r="JX7" s="7" t="str">
        <f t="shared" si="4"/>
        <v/>
      </c>
      <c r="JY7" s="7" t="str">
        <f t="shared" si="4"/>
        <v/>
      </c>
      <c r="JZ7" s="7" t="str">
        <f t="shared" si="4"/>
        <v/>
      </c>
      <c r="KA7" s="7" t="str">
        <f t="shared" si="4"/>
        <v/>
      </c>
      <c r="KB7" s="7" t="str">
        <f t="shared" si="4"/>
        <v/>
      </c>
      <c r="KC7" s="7" t="str">
        <f t="shared" si="4"/>
        <v/>
      </c>
      <c r="KD7" s="7" t="str">
        <f t="shared" si="4"/>
        <v/>
      </c>
      <c r="KE7" s="7" t="str">
        <f t="shared" si="4"/>
        <v/>
      </c>
      <c r="KF7" s="7" t="str">
        <f t="shared" si="4"/>
        <v/>
      </c>
      <c r="KG7" s="7" t="str">
        <f t="shared" si="4"/>
        <v/>
      </c>
      <c r="KH7" s="7" t="str">
        <f t="shared" si="4"/>
        <v/>
      </c>
      <c r="KI7" s="7" t="str">
        <f t="shared" si="4"/>
        <v/>
      </c>
      <c r="KJ7" s="7" t="str">
        <f t="shared" si="4"/>
        <v/>
      </c>
      <c r="KK7" s="7" t="str">
        <f t="shared" si="4"/>
        <v/>
      </c>
      <c r="KL7" s="7" t="str">
        <f t="shared" si="4"/>
        <v/>
      </c>
      <c r="KM7" s="7" t="str">
        <f t="shared" si="4"/>
        <v/>
      </c>
      <c r="KN7" s="7" t="str">
        <f t="shared" si="4"/>
        <v/>
      </c>
      <c r="KO7" s="7" t="str">
        <f t="shared" si="4"/>
        <v/>
      </c>
      <c r="KP7" s="7" t="str">
        <f t="shared" si="4"/>
        <v/>
      </c>
      <c r="KQ7" s="7" t="str">
        <f t="shared" si="4"/>
        <v/>
      </c>
      <c r="KR7" s="7" t="str">
        <f t="shared" si="4"/>
        <v/>
      </c>
      <c r="KS7" s="7" t="str">
        <f t="shared" si="4"/>
        <v/>
      </c>
      <c r="KT7" s="7" t="str">
        <f t="shared" si="4"/>
        <v/>
      </c>
      <c r="KU7" s="7" t="str">
        <f t="shared" si="4"/>
        <v/>
      </c>
      <c r="KV7" s="7" t="str">
        <f t="shared" si="4"/>
        <v/>
      </c>
      <c r="KW7" s="7" t="str">
        <f t="shared" si="4"/>
        <v/>
      </c>
      <c r="KX7" s="7" t="str">
        <f t="shared" si="4"/>
        <v/>
      </c>
      <c r="KY7" s="7" t="str">
        <f t="shared" si="4"/>
        <v/>
      </c>
      <c r="KZ7" s="7" t="str">
        <f t="shared" si="4"/>
        <v/>
      </c>
      <c r="LA7" s="7" t="str">
        <f t="shared" si="4"/>
        <v/>
      </c>
      <c r="LB7" s="7" t="str">
        <f t="shared" si="4"/>
        <v/>
      </c>
      <c r="LC7" s="7" t="str">
        <f t="shared" si="4"/>
        <v/>
      </c>
      <c r="LD7" s="7" t="str">
        <f t="shared" si="4"/>
        <v/>
      </c>
      <c r="LE7" s="7" t="str">
        <f t="shared" si="4"/>
        <v/>
      </c>
      <c r="LF7" s="7" t="str">
        <f t="shared" si="4"/>
        <v/>
      </c>
      <c r="LG7" s="7" t="str">
        <f t="shared" si="4"/>
        <v/>
      </c>
      <c r="LH7" s="7" t="str">
        <f t="shared" si="4"/>
        <v/>
      </c>
      <c r="LI7" s="7" t="str">
        <f t="shared" si="4"/>
        <v/>
      </c>
      <c r="LJ7" s="7" t="str">
        <f t="shared" si="4"/>
        <v/>
      </c>
      <c r="LK7" s="7" t="str">
        <f t="shared" si="4"/>
        <v/>
      </c>
      <c r="LL7" s="7" t="str">
        <f t="shared" ref="LL7:NJ7" si="5">IF(AND((COLUMN()-1)&gt;31*($B$5-1),MONTH(DATE($B$4+INT(($B$5+$B$3)/12),IF((INT((COLUMN()-1)/31.001)+$B$3)&gt;12,(INT((COLUMN()-1)/31.001)+$B$3-12),INT((COLUMN()-1)/31.001)+$B$3),ROUNDUP(MOD(COLUMN()-1,31.001),0)))=ROUNDUP(MOD($B$3+$B$5-1,12.01),0)),ROUNDUP(MOD(COLUMN()-1,31.001),0),"")</f>
        <v/>
      </c>
      <c r="LM7" s="7" t="str">
        <f t="shared" si="5"/>
        <v/>
      </c>
      <c r="LN7" s="7" t="str">
        <f t="shared" si="5"/>
        <v/>
      </c>
      <c r="LO7" s="7" t="str">
        <f t="shared" si="5"/>
        <v/>
      </c>
      <c r="LP7" s="7" t="str">
        <f t="shared" si="5"/>
        <v/>
      </c>
      <c r="LQ7" s="7" t="str">
        <f t="shared" si="5"/>
        <v/>
      </c>
      <c r="LR7" s="7" t="str">
        <f t="shared" si="5"/>
        <v/>
      </c>
      <c r="LS7" s="7" t="str">
        <f t="shared" si="5"/>
        <v/>
      </c>
      <c r="LT7" s="7" t="str">
        <f t="shared" si="5"/>
        <v/>
      </c>
      <c r="LU7" s="7" t="str">
        <f t="shared" si="5"/>
        <v/>
      </c>
      <c r="LV7" s="7" t="str">
        <f t="shared" si="5"/>
        <v/>
      </c>
      <c r="LW7" s="7" t="str">
        <f t="shared" si="5"/>
        <v/>
      </c>
      <c r="LX7" s="7" t="str">
        <f t="shared" si="5"/>
        <v/>
      </c>
      <c r="LY7" s="7" t="str">
        <f t="shared" si="5"/>
        <v/>
      </c>
      <c r="LZ7" s="7" t="str">
        <f t="shared" si="5"/>
        <v/>
      </c>
      <c r="MA7" s="7" t="str">
        <f t="shared" si="5"/>
        <v/>
      </c>
      <c r="MB7" s="7" t="str">
        <f t="shared" si="5"/>
        <v/>
      </c>
      <c r="MC7" s="7" t="str">
        <f t="shared" si="5"/>
        <v/>
      </c>
      <c r="MD7" s="7" t="str">
        <f t="shared" si="5"/>
        <v/>
      </c>
      <c r="ME7" s="7" t="str">
        <f t="shared" si="5"/>
        <v/>
      </c>
      <c r="MF7" s="7" t="str">
        <f t="shared" si="5"/>
        <v/>
      </c>
      <c r="MG7" s="7" t="str">
        <f t="shared" si="5"/>
        <v/>
      </c>
      <c r="MH7" s="7" t="str">
        <f t="shared" si="5"/>
        <v/>
      </c>
      <c r="MI7" s="7" t="str">
        <f t="shared" si="5"/>
        <v/>
      </c>
      <c r="MJ7" s="7" t="str">
        <f t="shared" si="5"/>
        <v/>
      </c>
      <c r="MK7" s="7" t="str">
        <f t="shared" si="5"/>
        <v/>
      </c>
      <c r="ML7" s="7" t="str">
        <f t="shared" si="5"/>
        <v/>
      </c>
      <c r="MM7" s="7" t="str">
        <f t="shared" si="5"/>
        <v/>
      </c>
      <c r="MN7" s="7" t="str">
        <f t="shared" si="5"/>
        <v/>
      </c>
      <c r="MO7" s="7" t="str">
        <f t="shared" si="5"/>
        <v/>
      </c>
      <c r="MP7" s="7" t="str">
        <f t="shared" si="5"/>
        <v/>
      </c>
      <c r="MQ7" s="7" t="str">
        <f t="shared" si="5"/>
        <v/>
      </c>
      <c r="MR7" s="7" t="str">
        <f t="shared" si="5"/>
        <v/>
      </c>
      <c r="MS7" s="7" t="str">
        <f t="shared" si="5"/>
        <v/>
      </c>
      <c r="MT7" s="7" t="str">
        <f t="shared" si="5"/>
        <v/>
      </c>
      <c r="MU7" s="7" t="str">
        <f t="shared" si="5"/>
        <v/>
      </c>
      <c r="MV7" s="7" t="str">
        <f t="shared" si="5"/>
        <v/>
      </c>
      <c r="MW7" s="7" t="str">
        <f t="shared" si="5"/>
        <v/>
      </c>
      <c r="MX7" s="7" t="str">
        <f t="shared" si="5"/>
        <v/>
      </c>
      <c r="MY7" s="7" t="str">
        <f t="shared" si="5"/>
        <v/>
      </c>
      <c r="MZ7" s="7" t="str">
        <f t="shared" si="5"/>
        <v/>
      </c>
      <c r="NA7" s="7" t="str">
        <f t="shared" si="5"/>
        <v/>
      </c>
      <c r="NB7" s="7" t="str">
        <f t="shared" si="5"/>
        <v/>
      </c>
      <c r="NC7" s="7" t="str">
        <f t="shared" si="5"/>
        <v/>
      </c>
      <c r="ND7" s="7" t="str">
        <f t="shared" si="5"/>
        <v/>
      </c>
      <c r="NE7" s="7" t="str">
        <f t="shared" si="5"/>
        <v/>
      </c>
      <c r="NF7" s="7" t="str">
        <f t="shared" si="5"/>
        <v/>
      </c>
      <c r="NG7" s="7" t="str">
        <f t="shared" si="5"/>
        <v/>
      </c>
      <c r="NH7" s="7" t="str">
        <f t="shared" si="5"/>
        <v/>
      </c>
      <c r="NI7" s="7" t="str">
        <f t="shared" si="5"/>
        <v/>
      </c>
      <c r="NJ7" s="7">
        <f t="shared" si="5"/>
        <v>1</v>
      </c>
      <c r="NK7" s="80" t="s">
        <v>32</v>
      </c>
      <c r="NL7" s="82" t="s">
        <v>33</v>
      </c>
      <c r="NM7" s="88" t="s">
        <v>57</v>
      </c>
      <c r="NN7" s="88" t="s">
        <v>51</v>
      </c>
      <c r="NO7" s="88" t="s">
        <v>35</v>
      </c>
      <c r="NP7" s="88" t="s">
        <v>36</v>
      </c>
      <c r="NQ7" s="90" t="s">
        <v>58</v>
      </c>
      <c r="NR7" s="90" t="s">
        <v>27</v>
      </c>
      <c r="NS7" s="90" t="s">
        <v>37</v>
      </c>
    </row>
    <row r="8" spans="1:762" x14ac:dyDescent="0.35">
      <c r="B8" s="25" t="s">
        <v>28</v>
      </c>
      <c r="C8" s="27" t="str">
        <f>IF(C$7="","",VLOOKUP(WEEKDAY(DATE($B$4,$B$5+$B$3-1,C7),2),Sheet3!$D$1:$E$7,2,0))</f>
        <v>Tue</v>
      </c>
      <c r="D8" s="27" t="str">
        <f>IF(D$7="","",VLOOKUP(WEEKDAY(DATE($B$4,$B$5+$B$3-1,D7),2),Sheet3!$D$1:$E$7,2,0))</f>
        <v>Wed</v>
      </c>
      <c r="E8" s="27" t="str">
        <f>IF(E$7="","",VLOOKUP(WEEKDAY(DATE($B$4,$B$5+$B$3-1,E7),2),Sheet3!$D$1:$E$7,2,0))</f>
        <v>Thu</v>
      </c>
      <c r="F8" s="27" t="str">
        <f>IF(F$7="","",VLOOKUP(WEEKDAY(DATE($B$4,$B$5+$B$3-1,F7),2),Sheet3!$D$1:$E$7,2,0))</f>
        <v>Fri</v>
      </c>
      <c r="G8" s="27" t="str">
        <f>IF(G$7="","",VLOOKUP(WEEKDAY(DATE($B$4,$B$5+$B$3-1,G7),2),Sheet3!$D$1:$E$7,2,0))</f>
        <v>Sat</v>
      </c>
      <c r="H8" s="27" t="str">
        <f>IF(H$7="","",VLOOKUP(WEEKDAY(DATE($B$4,$B$5+$B$3-1,H7),2),Sheet3!$D$1:$E$7,2,0))</f>
        <v>Sun</v>
      </c>
      <c r="I8" s="27" t="str">
        <f>IF(I$7="","",VLOOKUP(WEEKDAY(DATE($B$4,$B$5+$B$3-1,I7),2),Sheet3!$D$1:$E$7,2,0))</f>
        <v>Mon</v>
      </c>
      <c r="J8" s="27" t="str">
        <f>IF(J$7="","",VLOOKUP(WEEKDAY(DATE($B$4,$B$5+$B$3-1,J7),2),Sheet3!$D$1:$E$7,2,0))</f>
        <v>Tue</v>
      </c>
      <c r="K8" s="27" t="str">
        <f>IF(K$7="","",VLOOKUP(WEEKDAY(DATE($B$4,$B$5+$B$3-1,K7),2),Sheet3!$D$1:$E$7,2,0))</f>
        <v>Wed</v>
      </c>
      <c r="L8" s="27" t="str">
        <f>IF(L$7="","",VLOOKUP(WEEKDAY(DATE($B$4,$B$5+$B$3-1,L7),2),Sheet3!$D$1:$E$7,2,0))</f>
        <v>Thu</v>
      </c>
      <c r="M8" s="27" t="str">
        <f>IF(M$7="","",VLOOKUP(WEEKDAY(DATE($B$4,$B$5+$B$3-1,M7),2),Sheet3!$D$1:$E$7,2,0))</f>
        <v>Fri</v>
      </c>
      <c r="N8" s="27" t="str">
        <f>IF(N$7="","",VLOOKUP(WEEKDAY(DATE($B$4,$B$5+$B$3-1,N7),2),Sheet3!$D$1:$E$7,2,0))</f>
        <v>Sat</v>
      </c>
      <c r="O8" s="27" t="str">
        <f>IF(O$7="","",VLOOKUP(WEEKDAY(DATE($B$4,$B$5+$B$3-1,O7),2),Sheet3!$D$1:$E$7,2,0))</f>
        <v>Sun</v>
      </c>
      <c r="P8" s="27" t="str">
        <f>IF(P$7="","",VLOOKUP(WEEKDAY(DATE($B$4,$B$5+$B$3-1,P7),2),Sheet3!$D$1:$E$7,2,0))</f>
        <v>Mon</v>
      </c>
      <c r="Q8" s="27" t="str">
        <f>IF(Q$7="","",VLOOKUP(WEEKDAY(DATE($B$4,$B$5+$B$3-1,Q7),2),Sheet3!$D$1:$E$7,2,0))</f>
        <v>Tue</v>
      </c>
      <c r="R8" s="27" t="str">
        <f>IF(R$7="","",VLOOKUP(WEEKDAY(DATE($B$4,$B$5+$B$3-1,R7),2),Sheet3!$D$1:$E$7,2,0))</f>
        <v>Wed</v>
      </c>
      <c r="S8" s="27" t="str">
        <f>IF(S$7="","",VLOOKUP(WEEKDAY(DATE($B$4,$B$5+$B$3-1,S7),2),Sheet3!$D$1:$E$7,2,0))</f>
        <v>Thu</v>
      </c>
      <c r="T8" s="27" t="str">
        <f>IF(T$7="","",VLOOKUP(WEEKDAY(DATE($B$4,$B$5+$B$3-1,T7),2),Sheet3!$D$1:$E$7,2,0))</f>
        <v>Fri</v>
      </c>
      <c r="U8" s="27" t="str">
        <f>IF(U$7="","",VLOOKUP(WEEKDAY(DATE($B$4,$B$5+$B$3-1,U7),2),Sheet3!$D$1:$E$7,2,0))</f>
        <v>Sat</v>
      </c>
      <c r="V8" s="27" t="str">
        <f>IF(V$7="","",VLOOKUP(WEEKDAY(DATE($B$4,$B$5+$B$3-1,V7),2),Sheet3!$D$1:$E$7,2,0))</f>
        <v>Sun</v>
      </c>
      <c r="W8" s="27" t="str">
        <f>IF(W$7="","",VLOOKUP(WEEKDAY(DATE($B$4,$B$5+$B$3-1,W7),2),Sheet3!$D$1:$E$7,2,0))</f>
        <v>Mon</v>
      </c>
      <c r="X8" s="27" t="str">
        <f>IF(X$7="","",VLOOKUP(WEEKDAY(DATE($B$4,$B$5+$B$3-1,X7),2),Sheet3!$D$1:$E$7,2,0))</f>
        <v>Tue</v>
      </c>
      <c r="Y8" s="27" t="str">
        <f>IF(Y$7="","",VLOOKUP(WEEKDAY(DATE($B$4,$B$5+$B$3-1,Y7),2),Sheet3!$D$1:$E$7,2,0))</f>
        <v>Wed</v>
      </c>
      <c r="Z8" s="27" t="str">
        <f>IF(Z$7="","",VLOOKUP(WEEKDAY(DATE($B$4,$B$5+$B$3-1,Z7),2),Sheet3!$D$1:$E$7,2,0))</f>
        <v>Thu</v>
      </c>
      <c r="AA8" s="27" t="str">
        <f>IF(AA$7="","",VLOOKUP(WEEKDAY(DATE($B$4,$B$5+$B$3-1,AA7),2),Sheet3!$D$1:$E$7,2,0))</f>
        <v>Fri</v>
      </c>
      <c r="AB8" s="27" t="str">
        <f>IF(AB$7="","",VLOOKUP(WEEKDAY(DATE($B$4,$B$5+$B$3-1,AB7),2),Sheet3!$D$1:$E$7,2,0))</f>
        <v>Sat</v>
      </c>
      <c r="AC8" s="27" t="str">
        <f>IF(AC$7="","",VLOOKUP(WEEKDAY(DATE($B$4,$B$5+$B$3-1,AC7),2),Sheet3!$D$1:$E$7,2,0))</f>
        <v>Sun</v>
      </c>
      <c r="AD8" s="27" t="str">
        <f>IF(AD$7="","",VLOOKUP(WEEKDAY(DATE($B$4,$B$5+$B$3-1,AD7),2),Sheet3!$D$1:$E$7,2,0))</f>
        <v>Mon</v>
      </c>
      <c r="AE8" s="27" t="str">
        <f>IF(AE$7="","",VLOOKUP(WEEKDAY(DATE($B$4,$B$5+$B$3-1,AE7),2),Sheet3!$D$1:$E$7,2,0))</f>
        <v>Tue</v>
      </c>
      <c r="AF8" s="27" t="str">
        <f>IF(AF$7="","",VLOOKUP(WEEKDAY(DATE($B$4,$B$5+$B$3-1,AF7),2),Sheet3!$D$1:$E$7,2,0))</f>
        <v>Wed</v>
      </c>
      <c r="AG8" s="27" t="str">
        <f>IF(AG$7="","",VLOOKUP(WEEKDAY(DATE($B$4,$B$5+$B$3-1,AG7),2),Sheet3!$D$1:$E$7,2,0))</f>
        <v/>
      </c>
      <c r="AH8" s="9" t="str">
        <f>IF(AH$7="","",VLOOKUP(WEEKDAY(DATE($B$4,$B$5+$B$3-1,AH7),2),Sheet3!$D$1:$E$7,2,0))</f>
        <v/>
      </c>
      <c r="AI8" s="9" t="str">
        <f>IF(AI$7="","",VLOOKUP(WEEKDAY(DATE($B$4,$B$5+$B$3-1,AI7),2),Sheet3!$D$1:$E$7,2,0))</f>
        <v/>
      </c>
      <c r="AJ8" s="9" t="str">
        <f>IF(AJ$7="","",VLOOKUP(WEEKDAY(DATE($B$4,$B$5+$B$3-1,AJ7),2),Sheet3!$D$1:$E$7,2,0))</f>
        <v/>
      </c>
      <c r="AK8" s="9" t="str">
        <f>IF(AK$7="","",VLOOKUP(WEEKDAY(DATE($B$4,$B$5+$B$3-1,AK7),2),Sheet3!$D$1:$E$7,2,0))</f>
        <v/>
      </c>
      <c r="AL8" s="9" t="str">
        <f>IF(AL$7="","",VLOOKUP(WEEKDAY(DATE($B$4,$B$5+$B$3-1,AL7),2),Sheet3!$D$1:$E$7,2,0))</f>
        <v/>
      </c>
      <c r="AM8" s="9" t="str">
        <f>IF(AM$7="","",VLOOKUP(WEEKDAY(DATE($B$4,$B$5+$B$3-1,AM7),2),Sheet3!$D$1:$E$7,2,0))</f>
        <v/>
      </c>
      <c r="AN8" s="9" t="str">
        <f>IF(AN$7="","",VLOOKUP(WEEKDAY(DATE($B$4,$B$5+$B$3-1,AN7),2),Sheet3!$D$1:$E$7,2,0))</f>
        <v/>
      </c>
      <c r="AO8" s="9" t="str">
        <f>IF(AO$7="","",VLOOKUP(WEEKDAY(DATE($B$4,$B$5+$B$3-1,AO7),2),Sheet3!$D$1:$E$7,2,0))</f>
        <v/>
      </c>
      <c r="AP8" s="9" t="str">
        <f>IF(AP$7="","",VLOOKUP(WEEKDAY(DATE($B$4,$B$5+$B$3-1,AP7),2),Sheet3!$D$1:$E$7,2,0))</f>
        <v/>
      </c>
      <c r="AQ8" s="9" t="str">
        <f>IF(AQ$7="","",VLOOKUP(WEEKDAY(DATE($B$4,$B$5+$B$3-1,AQ7),2),Sheet3!$D$1:$E$7,2,0))</f>
        <v/>
      </c>
      <c r="AR8" s="9" t="str">
        <f>IF(AR$7="","",VLOOKUP(WEEKDAY(DATE($B$4,$B$5+$B$3-1,AR7),2),Sheet3!$D$1:$E$7,2,0))</f>
        <v/>
      </c>
      <c r="AS8" s="9" t="str">
        <f>IF(AS$7="","",VLOOKUP(WEEKDAY(DATE($B$4,$B$5+$B$3-1,AS7),2),Sheet3!$D$1:$E$7,2,0))</f>
        <v/>
      </c>
      <c r="AT8" s="9" t="str">
        <f>IF(AT$7="","",VLOOKUP(WEEKDAY(DATE($B$4,$B$5+$B$3-1,AT7),2),Sheet3!$D$1:$E$7,2,0))</f>
        <v/>
      </c>
      <c r="AU8" s="9" t="str">
        <f>IF(AU$7="","",VLOOKUP(WEEKDAY(DATE($B$4,$B$5+$B$3-1,AU7),2),Sheet3!$D$1:$E$7,2,0))</f>
        <v/>
      </c>
      <c r="AV8" s="9" t="str">
        <f>IF(AV$7="","",VLOOKUP(WEEKDAY(DATE($B$4,$B$5+$B$3-1,AV7),2),Sheet3!$D$1:$E$7,2,0))</f>
        <v/>
      </c>
      <c r="AW8" s="9" t="str">
        <f>IF(AW$7="","",VLOOKUP(WEEKDAY(DATE($B$4,$B$5+$B$3-1,AW7),2),Sheet3!$D$1:$E$7,2,0))</f>
        <v/>
      </c>
      <c r="AX8" s="9" t="str">
        <f>IF(AX$7="","",VLOOKUP(WEEKDAY(DATE($B$4,$B$5+$B$3-1,AX7),2),Sheet3!$D$1:$E$7,2,0))</f>
        <v/>
      </c>
      <c r="AY8" s="9" t="str">
        <f>IF(AY$7="","",VLOOKUP(WEEKDAY(DATE($B$4,$B$5+$B$3-1,AY7),2),Sheet3!$D$1:$E$7,2,0))</f>
        <v/>
      </c>
      <c r="AZ8" s="9" t="str">
        <f>IF(AZ$7="","",VLOOKUP(WEEKDAY(DATE($B$4,$B$5+$B$3-1,AZ7),2),Sheet3!$D$1:$E$7,2,0))</f>
        <v/>
      </c>
      <c r="BA8" s="9" t="str">
        <f>IF(BA$7="","",VLOOKUP(WEEKDAY(DATE($B$4,$B$5+$B$3-1,BA7),2),Sheet3!$D$1:$E$7,2,0))</f>
        <v/>
      </c>
      <c r="BB8" s="9" t="str">
        <f>IF(BB$7="","",VLOOKUP(WEEKDAY(DATE($B$4,$B$5+$B$3-1,BB7),2),Sheet3!$D$1:$E$7,2,0))</f>
        <v/>
      </c>
      <c r="BC8" s="9" t="str">
        <f>IF(BC$7="","",VLOOKUP(WEEKDAY(DATE($B$4,$B$5+$B$3-1,BC7),2),Sheet3!$D$1:$E$7,2,0))</f>
        <v/>
      </c>
      <c r="BD8" s="9" t="str">
        <f>IF(BD$7="","",VLOOKUP(WEEKDAY(DATE($B$4,$B$5+$B$3-1,BD7),2),Sheet3!$D$1:$E$7,2,0))</f>
        <v/>
      </c>
      <c r="BE8" s="9" t="str">
        <f>IF(BE$7="","",VLOOKUP(WEEKDAY(DATE($B$4,$B$5+$B$3-1,BE7),2),Sheet3!$D$1:$E$7,2,0))</f>
        <v/>
      </c>
      <c r="BF8" s="9" t="str">
        <f>IF(BF$7="","",VLOOKUP(WEEKDAY(DATE($B$4,$B$5+$B$3-1,BF7),2),Sheet3!$D$1:$E$7,2,0))</f>
        <v/>
      </c>
      <c r="BG8" s="9" t="str">
        <f>IF(BG$7="","",VLOOKUP(WEEKDAY(DATE($B$4,$B$5+$B$3-1,BG7),2),Sheet3!$D$1:$E$7,2,0))</f>
        <v/>
      </c>
      <c r="BH8" s="9" t="str">
        <f>IF(BH$7="","",VLOOKUP(WEEKDAY(DATE($B$4,$B$5+$B$3-1,BH7),2),Sheet3!$D$1:$E$7,2,0))</f>
        <v/>
      </c>
      <c r="BI8" s="9" t="str">
        <f>IF(BI$7="","",VLOOKUP(WEEKDAY(DATE($B$4,$B$5+$B$3-1,BI7),2),Sheet3!$D$1:$E$7,2,0))</f>
        <v/>
      </c>
      <c r="BJ8" s="9" t="str">
        <f>IF(BJ$7="","",VLOOKUP(WEEKDAY(DATE($B$4,$B$5+$B$3-1,BJ7),2),Sheet3!$D$1:$E$7,2,0))</f>
        <v/>
      </c>
      <c r="BK8" s="9" t="str">
        <f>IF(BK$7="","",VLOOKUP(WEEKDAY(DATE($B$4,$B$5+$B$3-1,BK7),2),Sheet3!$D$1:$E$7,2,0))</f>
        <v/>
      </c>
      <c r="BL8" s="9" t="str">
        <f>IF(BL$7="","",VLOOKUP(WEEKDAY(DATE($B$4,$B$5+$B$3-1,BL7),2),Sheet3!$D$1:$E$7,2,0))</f>
        <v/>
      </c>
      <c r="BM8" s="9" t="str">
        <f>IF(BM$7="","",VLOOKUP(WEEKDAY(DATE($B$4,$B$5+$B$3-1,BM7),2),Sheet3!$D$1:$E$7,2,0))</f>
        <v/>
      </c>
      <c r="BN8" s="9" t="str">
        <f>IF(BN$7="","",VLOOKUP(WEEKDAY(DATE($B$4,$B$5+$B$3-1,BN7),2),Sheet3!$D$1:$E$7,2,0))</f>
        <v/>
      </c>
      <c r="BO8" s="9" t="str">
        <f>IF(BO$7="","",VLOOKUP(WEEKDAY(DATE($B$4,$B$5+$B$3-1,BO7),2),Sheet3!$D$1:$E$7,2,0))</f>
        <v/>
      </c>
      <c r="BP8" s="9" t="str">
        <f>IF(BP$7="","",VLOOKUP(WEEKDAY(DATE($B$4,$B$5+$B$3-1,BP7),2),Sheet3!$D$1:$E$7,2,0))</f>
        <v/>
      </c>
      <c r="BQ8" s="9" t="str">
        <f>IF(BQ$7="","",VLOOKUP(WEEKDAY(DATE($B$4,$B$5+$B$3-1,BQ7),2),Sheet3!$D$1:$E$7,2,0))</f>
        <v/>
      </c>
      <c r="BR8" s="9" t="str">
        <f>IF(BR$7="","",VLOOKUP(WEEKDAY(DATE($B$4,$B$5+$B$3-1,BR7),2),Sheet3!$D$1:$E$7,2,0))</f>
        <v/>
      </c>
      <c r="BS8" s="9" t="str">
        <f>IF(BS$7="","",VLOOKUP(WEEKDAY(DATE($B$4,$B$5+$B$3-1,BS7),2),Sheet3!$D$1:$E$7,2,0))</f>
        <v/>
      </c>
      <c r="BT8" s="9" t="str">
        <f>IF(BT$7="","",VLOOKUP(WEEKDAY(DATE($B$4,$B$5+$B$3-1,BT7),2),Sheet3!$D$1:$E$7,2,0))</f>
        <v/>
      </c>
      <c r="BU8" s="9" t="str">
        <f>IF(BU$7="","",VLOOKUP(WEEKDAY(DATE($B$4,$B$5+$B$3-1,BU7),2),Sheet3!$D$1:$E$7,2,0))</f>
        <v/>
      </c>
      <c r="BV8" s="9" t="str">
        <f>IF(BV$7="","",VLOOKUP(WEEKDAY(DATE($B$4,$B$5+$B$3-1,BV7),2),Sheet3!$D$1:$E$7,2,0))</f>
        <v/>
      </c>
      <c r="BW8" s="9" t="str">
        <f>IF(BW$7="","",VLOOKUP(WEEKDAY(DATE($B$4,$B$5+$B$3-1,BW7),2),Sheet3!$D$1:$E$7,2,0))</f>
        <v/>
      </c>
      <c r="BX8" s="9" t="str">
        <f>IF(BX$7="","",VLOOKUP(WEEKDAY(DATE($B$4,$B$5+$B$3-1,BX7),2),Sheet3!$D$1:$E$7,2,0))</f>
        <v/>
      </c>
      <c r="BY8" s="9" t="str">
        <f>IF(BY$7="","",VLOOKUP(WEEKDAY(DATE($B$4,$B$5+$B$3-1,BY7),2),Sheet3!$D$1:$E$7,2,0))</f>
        <v/>
      </c>
      <c r="BZ8" s="9" t="str">
        <f>IF(BZ$7="","",VLOOKUP(WEEKDAY(DATE($B$4,$B$5+$B$3-1,BZ7),2),Sheet3!$D$1:$E$7,2,0))</f>
        <v/>
      </c>
      <c r="CA8" s="9" t="str">
        <f>IF(CA$7="","",VLOOKUP(WEEKDAY(DATE($B$4,$B$5+$B$3-1,CA7),2),Sheet3!$D$1:$E$7,2,0))</f>
        <v/>
      </c>
      <c r="CB8" s="9" t="str">
        <f>IF(CB$7="","",VLOOKUP(WEEKDAY(DATE($B$4,$B$5+$B$3-1,CB7),2),Sheet3!$D$1:$E$7,2,0))</f>
        <v/>
      </c>
      <c r="CC8" s="9" t="str">
        <f>IF(CC$7="","",VLOOKUP(WEEKDAY(DATE($B$4,$B$5+$B$3-1,CC7),2),Sheet3!$D$1:$E$7,2,0))</f>
        <v/>
      </c>
      <c r="CD8" s="9" t="str">
        <f>IF(CD$7="","",VLOOKUP(WEEKDAY(DATE($B$4,$B$5+$B$3-1,CD7),2),Sheet3!$D$1:$E$7,2,0))</f>
        <v/>
      </c>
      <c r="CE8" s="9" t="str">
        <f>IF(CE$7="","",VLOOKUP(WEEKDAY(DATE($B$4,$B$5+$B$3-1,CE7),2),Sheet3!$D$1:$E$7,2,0))</f>
        <v/>
      </c>
      <c r="CF8" s="9" t="str">
        <f>IF(CF$7="","",VLOOKUP(WEEKDAY(DATE($B$4,$B$5+$B$3-1,CF7),2),Sheet3!$D$1:$E$7,2,0))</f>
        <v/>
      </c>
      <c r="CG8" s="9" t="str">
        <f>IF(CG$7="","",VLOOKUP(WEEKDAY(DATE($B$4,$B$5+$B$3-1,CG7),2),Sheet3!$D$1:$E$7,2,0))</f>
        <v/>
      </c>
      <c r="CH8" s="9" t="str">
        <f>IF(CH$7="","",VLOOKUP(WEEKDAY(DATE($B$4,$B$5+$B$3-1,CH7),2),Sheet3!$D$1:$E$7,2,0))</f>
        <v/>
      </c>
      <c r="CI8" s="9" t="str">
        <f>IF(CI$7="","",VLOOKUP(WEEKDAY(DATE($B$4,$B$5+$B$3-1,CI7),2),Sheet3!$D$1:$E$7,2,0))</f>
        <v/>
      </c>
      <c r="CJ8" s="9" t="str">
        <f>IF(CJ$7="","",VLOOKUP(WEEKDAY(DATE($B$4,$B$5+$B$3-1,CJ7),2),Sheet3!$D$1:$E$7,2,0))</f>
        <v/>
      </c>
      <c r="CK8" s="9" t="str">
        <f>IF(CK$7="","",VLOOKUP(WEEKDAY(DATE($B$4,$B$5+$B$3-1,CK7),2),Sheet3!$D$1:$E$7,2,0))</f>
        <v/>
      </c>
      <c r="CL8" s="9" t="str">
        <f>IF(CL$7="","",VLOOKUP(WEEKDAY(DATE($B$4,$B$5+$B$3-1,CL7),2),Sheet3!$D$1:$E$7,2,0))</f>
        <v/>
      </c>
      <c r="CM8" s="9" t="str">
        <f>IF(CM$7="","",VLOOKUP(WEEKDAY(DATE($B$4,$B$5+$B$3-1,CM7),2),Sheet3!$D$1:$E$7,2,0))</f>
        <v/>
      </c>
      <c r="CN8" s="9" t="str">
        <f>IF(CN$7="","",VLOOKUP(WEEKDAY(DATE($B$4,$B$5+$B$3-1,CN7),2),Sheet3!$D$1:$E$7,2,0))</f>
        <v/>
      </c>
      <c r="CO8" s="9" t="str">
        <f>IF(CO$7="","",VLOOKUP(WEEKDAY(DATE($B$4,$B$5+$B$3-1,CO7),2),Sheet3!$D$1:$E$7,2,0))</f>
        <v/>
      </c>
      <c r="CP8" s="9" t="str">
        <f>IF(CP$7="","",VLOOKUP(WEEKDAY(DATE($B$4,$B$5+$B$3-1,CP7),2),Sheet3!$D$1:$E$7,2,0))</f>
        <v/>
      </c>
      <c r="CQ8" s="9" t="str">
        <f>IF(CQ$7="","",VLOOKUP(WEEKDAY(DATE($B$4,$B$5+$B$3-1,CQ7),2),Sheet3!$D$1:$E$7,2,0))</f>
        <v/>
      </c>
      <c r="CR8" s="9" t="str">
        <f>IF(CR$7="","",VLOOKUP(WEEKDAY(DATE($B$4,$B$5+$B$3-1,CR7),2),Sheet3!$D$1:$E$7,2,0))</f>
        <v/>
      </c>
      <c r="CS8" s="9" t="str">
        <f>IF(CS$7="","",VLOOKUP(WEEKDAY(DATE($B$4,$B$5+$B$3-1,CS7),2),Sheet3!$D$1:$E$7,2,0))</f>
        <v/>
      </c>
      <c r="CT8" s="9" t="str">
        <f>IF(CT$7="","",VLOOKUP(WEEKDAY(DATE($B$4,$B$5+$B$3-1,CT7),2),Sheet3!$D$1:$E$7,2,0))</f>
        <v/>
      </c>
      <c r="CU8" s="9" t="str">
        <f>IF(CU$7="","",VLOOKUP(WEEKDAY(DATE($B$4,$B$5+$B$3-1,CU7),2),Sheet3!$D$1:$E$7,2,0))</f>
        <v/>
      </c>
      <c r="CV8" s="9" t="str">
        <f>IF(CV$7="","",VLOOKUP(WEEKDAY(DATE($B$4,$B$5+$B$3-1,CV7),2),Sheet3!$D$1:$E$7,2,0))</f>
        <v/>
      </c>
      <c r="CW8" s="9" t="str">
        <f>IF(CW$7="","",VLOOKUP(WEEKDAY(DATE($B$4,$B$5+$B$3-1,CW7),2),Sheet3!$D$1:$E$7,2,0))</f>
        <v/>
      </c>
      <c r="CX8" s="9" t="str">
        <f>IF(CX$7="","",VLOOKUP(WEEKDAY(DATE($B$4,$B$5+$B$3-1,CX7),2),Sheet3!$D$1:$E$7,2,0))</f>
        <v/>
      </c>
      <c r="CY8" s="9" t="str">
        <f>IF(CY$7="","",VLOOKUP(WEEKDAY(DATE($B$4,$B$5+$B$3-1,CY7),2),Sheet3!$D$1:$E$7,2,0))</f>
        <v/>
      </c>
      <c r="CZ8" s="9" t="str">
        <f>IF(CZ$7="","",VLOOKUP(WEEKDAY(DATE($B$4,$B$5+$B$3-1,CZ7),2),Sheet3!$D$1:$E$7,2,0))</f>
        <v/>
      </c>
      <c r="DA8" s="9" t="str">
        <f>IF(DA$7="","",VLOOKUP(WEEKDAY(DATE($B$4,$B$5+$B$3-1,DA7),2),Sheet3!$D$1:$E$7,2,0))</f>
        <v/>
      </c>
      <c r="DB8" s="9" t="str">
        <f>IF(DB$7="","",VLOOKUP(WEEKDAY(DATE($B$4,$B$5+$B$3-1,DB7),2),Sheet3!$D$1:$E$7,2,0))</f>
        <v/>
      </c>
      <c r="DC8" s="9" t="str">
        <f>IF(DC$7="","",VLOOKUP(WEEKDAY(DATE($B$4,$B$5+$B$3-1,DC7),2),Sheet3!$D$1:$E$7,2,0))</f>
        <v/>
      </c>
      <c r="DD8" s="9" t="str">
        <f>IF(DD$7="","",VLOOKUP(WEEKDAY(DATE($B$4,$B$5+$B$3-1,DD7),2),Sheet3!$D$1:$E$7,2,0))</f>
        <v/>
      </c>
      <c r="DE8" s="9" t="str">
        <f>IF(DE$7="","",VLOOKUP(WEEKDAY(DATE($B$4,$B$5+$B$3-1,DE7),2),Sheet3!$D$1:$E$7,2,0))</f>
        <v/>
      </c>
      <c r="DF8" s="9" t="str">
        <f>IF(DF$7="","",VLOOKUP(WEEKDAY(DATE($B$4,$B$5+$B$3-1,DF7),2),Sheet3!$D$1:$E$7,2,0))</f>
        <v/>
      </c>
      <c r="DG8" s="9" t="str">
        <f>IF(DG$7="","",VLOOKUP(WEEKDAY(DATE($B$4,$B$5+$B$3-1,DG7),2),Sheet3!$D$1:$E$7,2,0))</f>
        <v/>
      </c>
      <c r="DH8" s="9" t="str">
        <f>IF(DH$7="","",VLOOKUP(WEEKDAY(DATE($B$4,$B$5+$B$3-1,DH7),2),Sheet3!$D$1:$E$7,2,0))</f>
        <v/>
      </c>
      <c r="DI8" s="9" t="str">
        <f>IF(DI$7="","",VLOOKUP(WEEKDAY(DATE($B$4,$B$5+$B$3-1,DI7),2),Sheet3!$D$1:$E$7,2,0))</f>
        <v/>
      </c>
      <c r="DJ8" s="9" t="str">
        <f>IF(DJ$7="","",VLOOKUP(WEEKDAY(DATE($B$4,$B$5+$B$3-1,DJ7),2),Sheet3!$D$1:$E$7,2,0))</f>
        <v/>
      </c>
      <c r="DK8" s="9" t="str">
        <f>IF(DK$7="","",VLOOKUP(WEEKDAY(DATE($B$4,$B$5+$B$3-1,DK7),2),Sheet3!$D$1:$E$7,2,0))</f>
        <v/>
      </c>
      <c r="DL8" s="9" t="str">
        <f>IF(DL$7="","",VLOOKUP(WEEKDAY(DATE($B$4,$B$5+$B$3-1,DL7),2),Sheet3!$D$1:$E$7,2,0))</f>
        <v/>
      </c>
      <c r="DM8" s="9" t="str">
        <f>IF(DM$7="","",VLOOKUP(WEEKDAY(DATE($B$4,$B$5+$B$3-1,DM7),2),Sheet3!$D$1:$E$7,2,0))</f>
        <v/>
      </c>
      <c r="DN8" s="9" t="str">
        <f>IF(DN$7="","",VLOOKUP(WEEKDAY(DATE($B$4,$B$5+$B$3-1,DN7),2),Sheet3!$D$1:$E$7,2,0))</f>
        <v/>
      </c>
      <c r="DO8" s="9" t="str">
        <f>IF(DO$7="","",VLOOKUP(WEEKDAY(DATE($B$4,$B$5+$B$3-1,DO7),2),Sheet3!$D$1:$E$7,2,0))</f>
        <v/>
      </c>
      <c r="DP8" s="9" t="str">
        <f>IF(DP$7="","",VLOOKUP(WEEKDAY(DATE($B$4,$B$5+$B$3-1,DP7),2),Sheet3!$D$1:$E$7,2,0))</f>
        <v/>
      </c>
      <c r="DQ8" s="9" t="str">
        <f>IF(DQ$7="","",VLOOKUP(WEEKDAY(DATE($B$4,$B$5+$B$3-1,DQ7),2),Sheet3!$D$1:$E$7,2,0))</f>
        <v/>
      </c>
      <c r="DR8" s="9" t="str">
        <f>IF(DR$7="","",VLOOKUP(WEEKDAY(DATE($B$4,$B$5+$B$3-1,DR7),2),Sheet3!$D$1:$E$7,2,0))</f>
        <v/>
      </c>
      <c r="DS8" s="9" t="str">
        <f>IF(DS$7="","",VLOOKUP(WEEKDAY(DATE($B$4,$B$5+$B$3-1,DS7),2),Sheet3!$D$1:$E$7,2,0))</f>
        <v/>
      </c>
      <c r="DT8" s="9" t="str">
        <f>IF(DT$7="","",VLOOKUP(WEEKDAY(DATE($B$4,$B$5+$B$3-1,DT7),2),Sheet3!$D$1:$E$7,2,0))</f>
        <v/>
      </c>
      <c r="DU8" s="9" t="str">
        <f>IF(DU$7="","",VLOOKUP(WEEKDAY(DATE($B$4,$B$5+$B$3-1,DU7),2),Sheet3!$D$1:$E$7,2,0))</f>
        <v/>
      </c>
      <c r="DV8" s="9" t="str">
        <f>IF(DV$7="","",VLOOKUP(WEEKDAY(DATE($B$4,$B$5+$B$3-1,DV7),2),Sheet3!$D$1:$E$7,2,0))</f>
        <v/>
      </c>
      <c r="DW8" s="9" t="str">
        <f>IF(DW$7="","",VLOOKUP(WEEKDAY(DATE($B$4,$B$5+$B$3-1,DW7),2),Sheet3!$D$1:$E$7,2,0))</f>
        <v/>
      </c>
      <c r="DX8" s="9" t="str">
        <f>IF(DX$7="","",VLOOKUP(WEEKDAY(DATE($B$4,$B$5+$B$3-1,DX7),2),Sheet3!$D$1:$E$7,2,0))</f>
        <v/>
      </c>
      <c r="DY8" s="9" t="str">
        <f>IF(DY$7="","",VLOOKUP(WEEKDAY(DATE($B$4,$B$5+$B$3-1,DY7),2),Sheet3!$D$1:$E$7,2,0))</f>
        <v/>
      </c>
      <c r="DZ8" s="9" t="str">
        <f>IF(DZ$7="","",VLOOKUP(WEEKDAY(DATE($B$4,$B$5+$B$3-1,DZ7),2),Sheet3!$D$1:$E$7,2,0))</f>
        <v/>
      </c>
      <c r="EA8" s="9" t="str">
        <f>IF(EA$7="","",VLOOKUP(WEEKDAY(DATE($B$4,$B$5+$B$3-1,EA7),2),Sheet3!$D$1:$E$7,2,0))</f>
        <v/>
      </c>
      <c r="EB8" s="9" t="str">
        <f>IF(EB$7="","",VLOOKUP(WEEKDAY(DATE($B$4,$B$5+$B$3-1,EB7),2),Sheet3!$D$1:$E$7,2,0))</f>
        <v/>
      </c>
      <c r="EC8" s="9" t="str">
        <f>IF(EC$7="","",VLOOKUP(WEEKDAY(DATE($B$4,$B$5+$B$3-1,EC7),2),Sheet3!$D$1:$E$7,2,0))</f>
        <v/>
      </c>
      <c r="ED8" s="9" t="str">
        <f>IF(ED$7="","",VLOOKUP(WEEKDAY(DATE($B$4,$B$5+$B$3-1,ED7),2),Sheet3!$D$1:$E$7,2,0))</f>
        <v/>
      </c>
      <c r="EE8" s="9" t="str">
        <f>IF(EE$7="","",VLOOKUP(WEEKDAY(DATE($B$4,$B$5+$B$3-1,EE7),2),Sheet3!$D$1:$E$7,2,0))</f>
        <v/>
      </c>
      <c r="EF8" s="9" t="str">
        <f>IF(EF$7="","",VLOOKUP(WEEKDAY(DATE($B$4,$B$5+$B$3-1,EF7),2),Sheet3!$D$1:$E$7,2,0))</f>
        <v/>
      </c>
      <c r="EG8" s="9" t="str">
        <f>IF(EG$7="","",VLOOKUP(WEEKDAY(DATE($B$4,$B$5+$B$3-1,EG7),2),Sheet3!$D$1:$E$7,2,0))</f>
        <v/>
      </c>
      <c r="EH8" s="9" t="str">
        <f>IF(EH$7="","",VLOOKUP(WEEKDAY(DATE($B$4,$B$5+$B$3-1,EH7),2),Sheet3!$D$1:$E$7,2,0))</f>
        <v/>
      </c>
      <c r="EI8" s="9" t="str">
        <f>IF(EI$7="","",VLOOKUP(WEEKDAY(DATE($B$4,$B$5+$B$3-1,EI7),2),Sheet3!$D$1:$E$7,2,0))</f>
        <v/>
      </c>
      <c r="EJ8" s="9" t="str">
        <f>IF(EJ$7="","",VLOOKUP(WEEKDAY(DATE($B$4,$B$5+$B$3-1,EJ7),2),Sheet3!$D$1:$E$7,2,0))</f>
        <v/>
      </c>
      <c r="EK8" s="9" t="str">
        <f>IF(EK$7="","",VLOOKUP(WEEKDAY(DATE($B$4,$B$5+$B$3-1,EK7),2),Sheet3!$D$1:$E$7,2,0))</f>
        <v/>
      </c>
      <c r="EL8" s="9" t="str">
        <f>IF(EL$7="","",VLOOKUP(WEEKDAY(DATE($B$4,$B$5+$B$3-1,EL7),2),Sheet3!$D$1:$E$7,2,0))</f>
        <v/>
      </c>
      <c r="EM8" s="9" t="str">
        <f>IF(EM$7="","",VLOOKUP(WEEKDAY(DATE($B$4,$B$5+$B$3-1,EM7),2),Sheet3!$D$1:$E$7,2,0))</f>
        <v/>
      </c>
      <c r="EN8" s="9" t="str">
        <f>IF(EN$7="","",VLOOKUP(WEEKDAY(DATE($B$4,$B$5+$B$3-1,EN7),2),Sheet3!$D$1:$E$7,2,0))</f>
        <v/>
      </c>
      <c r="EO8" s="9" t="str">
        <f>IF(EO$7="","",VLOOKUP(WEEKDAY(DATE($B$4,$B$5+$B$3-1,EO7),2),Sheet3!$D$1:$E$7,2,0))</f>
        <v/>
      </c>
      <c r="EP8" s="9" t="str">
        <f>IF(EP$7="","",VLOOKUP(WEEKDAY(DATE($B$4,$B$5+$B$3-1,EP7),2),Sheet3!$D$1:$E$7,2,0))</f>
        <v/>
      </c>
      <c r="EQ8" s="9" t="str">
        <f>IF(EQ$7="","",VLOOKUP(WEEKDAY(DATE($B$4,$B$5+$B$3-1,EQ7),2),Sheet3!$D$1:$E$7,2,0))</f>
        <v/>
      </c>
      <c r="ER8" s="9" t="str">
        <f>IF(ER$7="","",VLOOKUP(WEEKDAY(DATE($B$4,$B$5+$B$3-1,ER7),2),Sheet3!$D$1:$E$7,2,0))</f>
        <v/>
      </c>
      <c r="ES8" s="9" t="str">
        <f>IF(ES$7="","",VLOOKUP(WEEKDAY(DATE($B$4,$B$5+$B$3-1,ES7),2),Sheet3!$D$1:$E$7,2,0))</f>
        <v/>
      </c>
      <c r="ET8" s="9" t="str">
        <f>IF(ET$7="","",VLOOKUP(WEEKDAY(DATE($B$4,$B$5+$B$3-1,ET7),2),Sheet3!$D$1:$E$7,2,0))</f>
        <v/>
      </c>
      <c r="EU8" s="9" t="str">
        <f>IF(EU$7="","",VLOOKUP(WEEKDAY(DATE($B$4,$B$5+$B$3-1,EU7),2),Sheet3!$D$1:$E$7,2,0))</f>
        <v/>
      </c>
      <c r="EV8" s="9" t="str">
        <f>IF(EV$7="","",VLOOKUP(WEEKDAY(DATE($B$4,$B$5+$B$3-1,EV7),2),Sheet3!$D$1:$E$7,2,0))</f>
        <v/>
      </c>
      <c r="EW8" s="9" t="str">
        <f>IF(EW$7="","",VLOOKUP(WEEKDAY(DATE($B$4,$B$5+$B$3-1,EW7),2),Sheet3!$D$1:$E$7,2,0))</f>
        <v/>
      </c>
      <c r="EX8" s="9" t="str">
        <f>IF(EX$7="","",VLOOKUP(WEEKDAY(DATE($B$4,$B$5+$B$3-1,EX7),2),Sheet3!$D$1:$E$7,2,0))</f>
        <v/>
      </c>
      <c r="EY8" s="9" t="str">
        <f>IF(EY$7="","",VLOOKUP(WEEKDAY(DATE($B$4,$B$5+$B$3-1,EY7),2),Sheet3!$D$1:$E$7,2,0))</f>
        <v/>
      </c>
      <c r="EZ8" s="9" t="str">
        <f>IF(EZ$7="","",VLOOKUP(WEEKDAY(DATE($B$4,$B$5+$B$3-1,EZ7),2),Sheet3!$D$1:$E$7,2,0))</f>
        <v/>
      </c>
      <c r="FA8" s="9" t="str">
        <f>IF(FA$7="","",VLOOKUP(WEEKDAY(DATE($B$4,$B$5+$B$3-1,FA7),2),Sheet3!$D$1:$E$7,2,0))</f>
        <v/>
      </c>
      <c r="FB8" s="9" t="str">
        <f>IF(FB$7="","",VLOOKUP(WEEKDAY(DATE($B$4,$B$5+$B$3-1,FB7),2),Sheet3!$D$1:$E$7,2,0))</f>
        <v/>
      </c>
      <c r="FC8" s="9" t="str">
        <f>IF(FC$7="","",VLOOKUP(WEEKDAY(DATE($B$4,$B$5+$B$3-1,FC7),2),Sheet3!$D$1:$E$7,2,0))</f>
        <v/>
      </c>
      <c r="FD8" s="9" t="str">
        <f>IF(FD$7="","",VLOOKUP(WEEKDAY(DATE($B$4,$B$5+$B$3-1,FD7),2),Sheet3!$D$1:$E$7,2,0))</f>
        <v/>
      </c>
      <c r="FE8" s="9" t="str">
        <f>IF(FE$7="","",VLOOKUP(WEEKDAY(DATE($B$4,$B$5+$B$3-1,FE7),2),Sheet3!$D$1:$E$7,2,0))</f>
        <v/>
      </c>
      <c r="FF8" s="9" t="str">
        <f>IF(FF$7="","",VLOOKUP(WEEKDAY(DATE($B$4,$B$5+$B$3-1,FF7),2),Sheet3!$D$1:$E$7,2,0))</f>
        <v/>
      </c>
      <c r="FG8" s="9" t="str">
        <f>IF(FG$7="","",VLOOKUP(WEEKDAY(DATE($B$4,$B$5+$B$3-1,FG7),2),Sheet3!$D$1:$E$7,2,0))</f>
        <v/>
      </c>
      <c r="FH8" s="9" t="str">
        <f>IF(FH$7="","",VLOOKUP(WEEKDAY(DATE($B$4,$B$5+$B$3-1,FH7),2),Sheet3!$D$1:$E$7,2,0))</f>
        <v/>
      </c>
      <c r="FI8" s="9" t="str">
        <f>IF(FI$7="","",VLOOKUP(WEEKDAY(DATE($B$4,$B$5+$B$3-1,FI7),2),Sheet3!$D$1:$E$7,2,0))</f>
        <v/>
      </c>
      <c r="FJ8" s="9" t="str">
        <f>IF(FJ$7="","",VLOOKUP(WEEKDAY(DATE($B$4,$B$5+$B$3-1,FJ7),2),Sheet3!$D$1:$E$7,2,0))</f>
        <v/>
      </c>
      <c r="FK8" s="9" t="str">
        <f>IF(FK$7="","",VLOOKUP(WEEKDAY(DATE($B$4,$B$5+$B$3-1,FK7),2),Sheet3!$D$1:$E$7,2,0))</f>
        <v/>
      </c>
      <c r="FL8" s="9" t="str">
        <f>IF(FL$7="","",VLOOKUP(WEEKDAY(DATE($B$4,$B$5+$B$3-1,FL7),2),Sheet3!$D$1:$E$7,2,0))</f>
        <v/>
      </c>
      <c r="FM8" s="9" t="str">
        <f>IF(FM$7="","",VLOOKUP(WEEKDAY(DATE($B$4,$B$5+$B$3-1,FM7),2),Sheet3!$D$1:$E$7,2,0))</f>
        <v/>
      </c>
      <c r="FN8" s="9" t="str">
        <f>IF(FN$7="","",VLOOKUP(WEEKDAY(DATE($B$4,$B$5+$B$3-1,FN7),2),Sheet3!$D$1:$E$7,2,0))</f>
        <v/>
      </c>
      <c r="FO8" s="9" t="str">
        <f>IF(FO$7="","",VLOOKUP(WEEKDAY(DATE($B$4,$B$5+$B$3-1,FO7),2),Sheet3!$D$1:$E$7,2,0))</f>
        <v/>
      </c>
      <c r="FP8" s="9" t="str">
        <f>IF(FP$7="","",VLOOKUP(WEEKDAY(DATE($B$4,$B$5+$B$3-1,FP7),2),Sheet3!$D$1:$E$7,2,0))</f>
        <v/>
      </c>
      <c r="FQ8" s="9" t="str">
        <f>IF(FQ$7="","",VLOOKUP(WEEKDAY(DATE($B$4,$B$5+$B$3-1,FQ7),2),Sheet3!$D$1:$E$7,2,0))</f>
        <v/>
      </c>
      <c r="FR8" s="9" t="str">
        <f>IF(FR$7="","",VLOOKUP(WEEKDAY(DATE($B$4,$B$5+$B$3-1,FR7),2),Sheet3!$D$1:$E$7,2,0))</f>
        <v/>
      </c>
      <c r="FS8" s="9" t="str">
        <f>IF(FS$7="","",VLOOKUP(WEEKDAY(DATE($B$4,$B$5+$B$3-1,FS7),2),Sheet3!$D$1:$E$7,2,0))</f>
        <v/>
      </c>
      <c r="FT8" s="9" t="str">
        <f>IF(FT$7="","",VLOOKUP(WEEKDAY(DATE($B$4,$B$5+$B$3-1,FT7),2),Sheet3!$D$1:$E$7,2,0))</f>
        <v/>
      </c>
      <c r="FU8" s="9" t="str">
        <f>IF(FU$7="","",VLOOKUP(WEEKDAY(DATE($B$4,$B$5+$B$3-1,FU7),2),Sheet3!$D$1:$E$7,2,0))</f>
        <v/>
      </c>
      <c r="FV8" s="9" t="str">
        <f>IF(FV$7="","",VLOOKUP(WEEKDAY(DATE($B$4,$B$5+$B$3-1,FV7),2),Sheet3!$D$1:$E$7,2,0))</f>
        <v/>
      </c>
      <c r="FW8" s="9" t="str">
        <f>IF(FW$7="","",VLOOKUP(WEEKDAY(DATE($B$4,$B$5+$B$3-1,FW7),2),Sheet3!$D$1:$E$7,2,0))</f>
        <v/>
      </c>
      <c r="FX8" s="9" t="str">
        <f>IF(FX$7="","",VLOOKUP(WEEKDAY(DATE($B$4,$B$5+$B$3-1,FX7),2),Sheet3!$D$1:$E$7,2,0))</f>
        <v/>
      </c>
      <c r="FY8" s="9" t="str">
        <f>IF(FY$7="","",VLOOKUP(WEEKDAY(DATE($B$4,$B$5+$B$3-1,FY7),2),Sheet3!$D$1:$E$7,2,0))</f>
        <v/>
      </c>
      <c r="FZ8" s="9" t="str">
        <f>IF(FZ$7="","",VLOOKUP(WEEKDAY(DATE($B$4,$B$5+$B$3-1,FZ7),2),Sheet3!$D$1:$E$7,2,0))</f>
        <v/>
      </c>
      <c r="GA8" s="9" t="str">
        <f>IF(GA$7="","",VLOOKUP(WEEKDAY(DATE($B$4,$B$5+$B$3-1,GA7),2),Sheet3!$D$1:$E$7,2,0))</f>
        <v/>
      </c>
      <c r="GB8" s="9" t="str">
        <f>IF(GB$7="","",VLOOKUP(WEEKDAY(DATE($B$4,$B$5+$B$3-1,GB7),2),Sheet3!$D$1:$E$7,2,0))</f>
        <v/>
      </c>
      <c r="GC8" s="9" t="str">
        <f>IF(GC$7="","",VLOOKUP(WEEKDAY(DATE($B$4,$B$5+$B$3-1,GC7),2),Sheet3!$D$1:$E$7,2,0))</f>
        <v/>
      </c>
      <c r="GD8" s="9" t="str">
        <f>IF(GD$7="","",VLOOKUP(WEEKDAY(DATE($B$4,$B$5+$B$3-1,GD7),2),Sheet3!$D$1:$E$7,2,0))</f>
        <v/>
      </c>
      <c r="GE8" s="9" t="str">
        <f>IF(GE$7="","",VLOOKUP(WEEKDAY(DATE($B$4,$B$5+$B$3-1,GE7),2),Sheet3!$D$1:$E$7,2,0))</f>
        <v/>
      </c>
      <c r="GF8" s="9" t="str">
        <f>IF(GF$7="","",VLOOKUP(WEEKDAY(DATE($B$4,$B$5+$B$3-1,GF7),2),Sheet3!$D$1:$E$7,2,0))</f>
        <v/>
      </c>
      <c r="GG8" s="9" t="str">
        <f>IF(GG$7="","",VLOOKUP(WEEKDAY(DATE($B$4,$B$5+$B$3-1,GG7),2),Sheet3!$D$1:$E$7,2,0))</f>
        <v/>
      </c>
      <c r="GH8" s="9" t="str">
        <f>IF(GH$7="","",VLOOKUP(WEEKDAY(DATE($B$4,$B$5+$B$3-1,GH7),2),Sheet3!$D$1:$E$7,2,0))</f>
        <v/>
      </c>
      <c r="GI8" s="9" t="str">
        <f>IF(GI$7="","",VLOOKUP(WEEKDAY(DATE($B$4,$B$5+$B$3-1,GI7),2),Sheet3!$D$1:$E$7,2,0))</f>
        <v/>
      </c>
      <c r="GJ8" s="9" t="str">
        <f>IF(GJ$7="","",VLOOKUP(WEEKDAY(DATE($B$4,$B$5+$B$3-1,GJ7),2),Sheet3!$D$1:$E$7,2,0))</f>
        <v/>
      </c>
      <c r="GK8" s="9" t="str">
        <f>IF(GK$7="","",VLOOKUP(WEEKDAY(DATE($B$4,$B$5+$B$3-1,GK7),2),Sheet3!$D$1:$E$7,2,0))</f>
        <v/>
      </c>
      <c r="GL8" s="9" t="str">
        <f>IF(GL$7="","",VLOOKUP(WEEKDAY(DATE($B$4,$B$5+$B$3-1,GL7),2),Sheet3!$D$1:$E$7,2,0))</f>
        <v/>
      </c>
      <c r="GM8" s="9" t="str">
        <f>IF(GM$7="","",VLOOKUP(WEEKDAY(DATE($B$4,$B$5+$B$3-1,GM7),2),Sheet3!$D$1:$E$7,2,0))</f>
        <v/>
      </c>
      <c r="GN8" s="9" t="str">
        <f>IF(GN$7="","",VLOOKUP(WEEKDAY(DATE($B$4,$B$5+$B$3-1,GN7),2),Sheet3!$D$1:$E$7,2,0))</f>
        <v/>
      </c>
      <c r="GO8" s="9" t="str">
        <f>IF(GO$7="","",VLOOKUP(WEEKDAY(DATE($B$4,$B$5+$B$3-1,GO7),2),Sheet3!$D$1:$E$7,2,0))</f>
        <v/>
      </c>
      <c r="GP8" s="9" t="str">
        <f>IF(GP$7="","",VLOOKUP(WEEKDAY(DATE($B$4,$B$5+$B$3-1,GP7),2),Sheet3!$D$1:$E$7,2,0))</f>
        <v/>
      </c>
      <c r="GQ8" s="9" t="str">
        <f>IF(GQ$7="","",VLOOKUP(WEEKDAY(DATE($B$4,$B$5+$B$3-1,GQ7),2),Sheet3!$D$1:$E$7,2,0))</f>
        <v/>
      </c>
      <c r="GR8" s="9" t="str">
        <f>IF(GR$7="","",VLOOKUP(WEEKDAY(DATE($B$4,$B$5+$B$3-1,GR7),2),Sheet3!$D$1:$E$7,2,0))</f>
        <v/>
      </c>
      <c r="GS8" s="9" t="str">
        <f>IF(GS$7="","",VLOOKUP(WEEKDAY(DATE($B$4,$B$5+$B$3-1,GS7),2),Sheet3!$D$1:$E$7,2,0))</f>
        <v/>
      </c>
      <c r="GT8" s="9" t="str">
        <f>IF(GT$7="","",VLOOKUP(WEEKDAY(DATE($B$4,$B$5+$B$3-1,GT7),2),Sheet3!$D$1:$E$7,2,0))</f>
        <v/>
      </c>
      <c r="GU8" s="9" t="str">
        <f>IF(GU$7="","",VLOOKUP(WEEKDAY(DATE($B$4,$B$5+$B$3-1,GU7),2),Sheet3!$D$1:$E$7,2,0))</f>
        <v/>
      </c>
      <c r="GV8" s="9" t="str">
        <f>IF(GV$7="","",VLOOKUP(WEEKDAY(DATE($B$4,$B$5+$B$3-1,GV7),2),Sheet3!$D$1:$E$7,2,0))</f>
        <v/>
      </c>
      <c r="GW8" s="9" t="str">
        <f>IF(GW$7="","",VLOOKUP(WEEKDAY(DATE($B$4,$B$5+$B$3-1,GW7),2),Sheet3!$D$1:$E$7,2,0))</f>
        <v/>
      </c>
      <c r="GX8" s="9" t="str">
        <f>IF(GX$7="","",VLOOKUP(WEEKDAY(DATE($B$4,$B$5+$B$3-1,GX7),2),Sheet3!$D$1:$E$7,2,0))</f>
        <v/>
      </c>
      <c r="GY8" s="9" t="str">
        <f>IF(GY$7="","",VLOOKUP(WEEKDAY(DATE($B$4,$B$5+$B$3-1,GY7),2),Sheet3!$D$1:$E$7,2,0))</f>
        <v/>
      </c>
      <c r="GZ8" s="9" t="str">
        <f>IF(GZ$7="","",VLOOKUP(WEEKDAY(DATE($B$4,$B$5+$B$3-1,GZ7),2),Sheet3!$D$1:$E$7,2,0))</f>
        <v/>
      </c>
      <c r="HA8" s="9" t="str">
        <f>IF(HA$7="","",VLOOKUP(WEEKDAY(DATE($B$4,$B$5+$B$3-1,HA7),2),Sheet3!$D$1:$E$7,2,0))</f>
        <v/>
      </c>
      <c r="HB8" s="9" t="str">
        <f>IF(HB$7="","",VLOOKUP(WEEKDAY(DATE($B$4,$B$5+$B$3-1,HB7),2),Sheet3!$D$1:$E$7,2,0))</f>
        <v/>
      </c>
      <c r="HC8" s="9" t="str">
        <f>IF(HC$7="","",VLOOKUP(WEEKDAY(DATE($B$4,$B$5+$B$3-1,HC7),2),Sheet3!$D$1:$E$7,2,0))</f>
        <v/>
      </c>
      <c r="HD8" s="9" t="str">
        <f>IF(HD$7="","",VLOOKUP(WEEKDAY(DATE($B$4,$B$5+$B$3-1,HD7),2),Sheet3!$D$1:$E$7,2,0))</f>
        <v/>
      </c>
      <c r="HE8" s="9" t="str">
        <f>IF(HE$7="","",VLOOKUP(WEEKDAY(DATE($B$4,$B$5+$B$3-1,HE7),2),Sheet3!$D$1:$E$7,2,0))</f>
        <v/>
      </c>
      <c r="HF8" s="9" t="str">
        <f>IF(HF$7="","",VLOOKUP(WEEKDAY(DATE($B$4,$B$5+$B$3-1,HF7),2),Sheet3!$D$1:$E$7,2,0))</f>
        <v/>
      </c>
      <c r="HG8" s="9" t="str">
        <f>IF(HG$7="","",VLOOKUP(WEEKDAY(DATE($B$4,$B$5+$B$3-1,HG7),2),Sheet3!$D$1:$E$7,2,0))</f>
        <v/>
      </c>
      <c r="HH8" s="9" t="str">
        <f>IF(HH$7="","",VLOOKUP(WEEKDAY(DATE($B$4,$B$5+$B$3-1,HH7),2),Sheet3!$D$1:$E$7,2,0))</f>
        <v/>
      </c>
      <c r="HI8" s="9" t="str">
        <f>IF(HI$7="","",VLOOKUP(WEEKDAY(DATE($B$4,$B$5+$B$3-1,HI7),2),Sheet3!$D$1:$E$7,2,0))</f>
        <v/>
      </c>
      <c r="HJ8" s="9" t="str">
        <f>IF(HJ$7="","",VLOOKUP(WEEKDAY(DATE($B$4,$B$5+$B$3-1,HJ7),2),Sheet3!$D$1:$E$7,2,0))</f>
        <v/>
      </c>
      <c r="HK8" s="9" t="str">
        <f>IF(HK$7="","",VLOOKUP(WEEKDAY(DATE($B$4,$B$5+$B$3-1,HK7),2),Sheet3!$D$1:$E$7,2,0))</f>
        <v/>
      </c>
      <c r="HL8" s="9" t="str">
        <f>IF(HL$7="","",VLOOKUP(WEEKDAY(DATE($B$4,$B$5+$B$3-1,HL7),2),Sheet3!$D$1:$E$7,2,0))</f>
        <v/>
      </c>
      <c r="HM8" s="9" t="str">
        <f>IF(HM$7="","",VLOOKUP(WEEKDAY(DATE($B$4,$B$5+$B$3-1,HM7),2),Sheet3!$D$1:$E$7,2,0))</f>
        <v/>
      </c>
      <c r="HN8" s="9" t="str">
        <f>IF(HN$7="","",VLOOKUP(WEEKDAY(DATE($B$4,$B$5+$B$3-1,HN7),2),Sheet3!$D$1:$E$7,2,0))</f>
        <v/>
      </c>
      <c r="HO8" s="9" t="str">
        <f>IF(HO$7="","",VLOOKUP(WEEKDAY(DATE($B$4,$B$5+$B$3-1,HO7),2),Sheet3!$D$1:$E$7,2,0))</f>
        <v/>
      </c>
      <c r="HP8" s="9" t="str">
        <f>IF(HP$7="","",VLOOKUP(WEEKDAY(DATE($B$4,$B$5+$B$3-1,HP7),2),Sheet3!$D$1:$E$7,2,0))</f>
        <v/>
      </c>
      <c r="HQ8" s="9" t="str">
        <f>IF(HQ$7="","",VLOOKUP(WEEKDAY(DATE($B$4,$B$5+$B$3-1,HQ7),2),Sheet3!$D$1:$E$7,2,0))</f>
        <v/>
      </c>
      <c r="HR8" s="9" t="str">
        <f>IF(HR$7="","",VLOOKUP(WEEKDAY(DATE($B$4,$B$5+$B$3-1,HR7),2),Sheet3!$D$1:$E$7,2,0))</f>
        <v/>
      </c>
      <c r="HS8" s="9" t="str">
        <f>IF(HS$7="","",VLOOKUP(WEEKDAY(DATE($B$4,$B$5+$B$3-1,HS7),2),Sheet3!$D$1:$E$7,2,0))</f>
        <v/>
      </c>
      <c r="HT8" s="9" t="str">
        <f>IF(HT$7="","",VLOOKUP(WEEKDAY(DATE($B$4,$B$5+$B$3-1,HT7),2),Sheet3!$D$1:$E$7,2,0))</f>
        <v/>
      </c>
      <c r="HU8" s="9" t="str">
        <f>IF(HU$7="","",VLOOKUP(WEEKDAY(DATE($B$4,$B$5+$B$3-1,HU7),2),Sheet3!$D$1:$E$7,2,0))</f>
        <v/>
      </c>
      <c r="HV8" s="9" t="str">
        <f>IF(HV$7="","",VLOOKUP(WEEKDAY(DATE($B$4,$B$5+$B$3-1,HV7),2),Sheet3!$D$1:$E$7,2,0))</f>
        <v/>
      </c>
      <c r="HW8" s="9" t="str">
        <f>IF(HW$7="","",VLOOKUP(WEEKDAY(DATE($B$4,$B$5+$B$3-1,HW7),2),Sheet3!$D$1:$E$7,2,0))</f>
        <v/>
      </c>
      <c r="HX8" s="9" t="str">
        <f>IF(HX$7="","",VLOOKUP(WEEKDAY(DATE($B$4,$B$5+$B$3-1,HX7),2),Sheet3!$D$1:$E$7,2,0))</f>
        <v/>
      </c>
      <c r="HY8" s="9" t="str">
        <f>IF(HY$7="","",VLOOKUP(WEEKDAY(DATE($B$4,$B$5+$B$3-1,HY7),2),Sheet3!$D$1:$E$7,2,0))</f>
        <v/>
      </c>
      <c r="HZ8" s="9" t="str">
        <f>IF(HZ$7="","",VLOOKUP(WEEKDAY(DATE($B$4,$B$5+$B$3-1,HZ7),2),Sheet3!$D$1:$E$7,2,0))</f>
        <v/>
      </c>
      <c r="IA8" s="9" t="str">
        <f>IF(IA$7="","",VLOOKUP(WEEKDAY(DATE($B$4,$B$5+$B$3-1,IA7),2),Sheet3!$D$1:$E$7,2,0))</f>
        <v/>
      </c>
      <c r="IB8" s="9" t="str">
        <f>IF(IB$7="","",VLOOKUP(WEEKDAY(DATE($B$4,$B$5+$B$3-1,IB7),2),Sheet3!$D$1:$E$7,2,0))</f>
        <v/>
      </c>
      <c r="IC8" s="9" t="str">
        <f>IF(IC$7="","",VLOOKUP(WEEKDAY(DATE($B$4,$B$5+$B$3-1,IC7),2),Sheet3!$D$1:$E$7,2,0))</f>
        <v/>
      </c>
      <c r="ID8" s="9" t="str">
        <f>IF(ID$7="","",VLOOKUP(WEEKDAY(DATE($B$4,$B$5+$B$3-1,ID7),2),Sheet3!$D$1:$E$7,2,0))</f>
        <v/>
      </c>
      <c r="IE8" s="9" t="str">
        <f>IF(IE$7="","",VLOOKUP(WEEKDAY(DATE($B$4,$B$5+$B$3-1,IE7),2),Sheet3!$D$1:$E$7,2,0))</f>
        <v/>
      </c>
      <c r="IF8" s="9" t="str">
        <f>IF(IF$7="","",VLOOKUP(WEEKDAY(DATE($B$4,$B$5+$B$3-1,IF7),2),Sheet3!$D$1:$E$7,2,0))</f>
        <v/>
      </c>
      <c r="IG8" s="9" t="str">
        <f>IF(IG$7="","",VLOOKUP(WEEKDAY(DATE($B$4,$B$5+$B$3-1,IG7),2),Sheet3!$D$1:$E$7,2,0))</f>
        <v/>
      </c>
      <c r="IH8" s="9" t="str">
        <f>IF(IH$7="","",VLOOKUP(WEEKDAY(DATE($B$4,$B$5+$B$3-1,IH7),2),Sheet3!$D$1:$E$7,2,0))</f>
        <v/>
      </c>
      <c r="II8" s="9" t="str">
        <f>IF(II$7="","",VLOOKUP(WEEKDAY(DATE($B$4,$B$5+$B$3-1,II7),2),Sheet3!$D$1:$E$7,2,0))</f>
        <v/>
      </c>
      <c r="IJ8" s="9" t="str">
        <f>IF(IJ$7="","",VLOOKUP(WEEKDAY(DATE($B$4,$B$5+$B$3-1,IJ7),2),Sheet3!$D$1:$E$7,2,0))</f>
        <v/>
      </c>
      <c r="IK8" s="9" t="str">
        <f>IF(IK$7="","",VLOOKUP(WEEKDAY(DATE($B$4,$B$5+$B$3-1,IK7),2),Sheet3!$D$1:$E$7,2,0))</f>
        <v/>
      </c>
      <c r="IL8" s="9" t="str">
        <f>IF(IL$7="","",VLOOKUP(WEEKDAY(DATE($B$4,$B$5+$B$3-1,IL7),2),Sheet3!$D$1:$E$7,2,0))</f>
        <v/>
      </c>
      <c r="IM8" s="9" t="str">
        <f>IF(IM$7="","",VLOOKUP(WEEKDAY(DATE($B$4,$B$5+$B$3-1,IM7),2),Sheet3!$D$1:$E$7,2,0))</f>
        <v/>
      </c>
      <c r="IN8" s="9" t="str">
        <f>IF(IN$7="","",VLOOKUP(WEEKDAY(DATE($B$4,$B$5+$B$3-1,IN7),2),Sheet3!$D$1:$E$7,2,0))</f>
        <v/>
      </c>
      <c r="IO8" s="9" t="str">
        <f>IF(IO$7="","",VLOOKUP(WEEKDAY(DATE($B$4,$B$5+$B$3-1,IO7),2),Sheet3!$D$1:$E$7,2,0))</f>
        <v/>
      </c>
      <c r="IP8" s="9" t="str">
        <f>IF(IP$7="","",VLOOKUP(WEEKDAY(DATE($B$4,$B$5+$B$3-1,IP7),2),Sheet3!$D$1:$E$7,2,0))</f>
        <v/>
      </c>
      <c r="IQ8" s="9" t="str">
        <f>IF(IQ$7="","",VLOOKUP(WEEKDAY(DATE($B$4,$B$5+$B$3-1,IQ7),2),Sheet3!$D$1:$E$7,2,0))</f>
        <v/>
      </c>
      <c r="IR8" s="9" t="str">
        <f>IF(IR$7="","",VLOOKUP(WEEKDAY(DATE($B$4,$B$5+$B$3-1,IR7),2),Sheet3!$D$1:$E$7,2,0))</f>
        <v/>
      </c>
      <c r="IS8" s="9" t="str">
        <f>IF(IS$7="","",VLOOKUP(WEEKDAY(DATE($B$4,$B$5+$B$3-1,IS7),2),Sheet3!$D$1:$E$7,2,0))</f>
        <v/>
      </c>
      <c r="IT8" s="9" t="str">
        <f>IF(IT$7="","",VLOOKUP(WEEKDAY(DATE($B$4,$B$5+$B$3-1,IT7),2),Sheet3!$D$1:$E$7,2,0))</f>
        <v/>
      </c>
      <c r="IU8" s="9" t="str">
        <f>IF(IU$7="","",VLOOKUP(WEEKDAY(DATE($B$4,$B$5+$B$3-1,IU7),2),Sheet3!$D$1:$E$7,2,0))</f>
        <v/>
      </c>
      <c r="IV8" s="9" t="str">
        <f>IF(IV$7="","",VLOOKUP(WEEKDAY(DATE($B$4,$B$5+$B$3-1,IV7),2),Sheet3!$D$1:$E$7,2,0))</f>
        <v/>
      </c>
      <c r="IW8" s="9" t="str">
        <f>IF(IW$7="","",VLOOKUP(WEEKDAY(DATE($B$4,$B$5+$B$3-1,IW7),2),Sheet3!$D$1:$E$7,2,0))</f>
        <v/>
      </c>
      <c r="IX8" s="9" t="str">
        <f>IF(IX$7="","",VLOOKUP(WEEKDAY(DATE($B$4,$B$5+$B$3-1,IX7),2),Sheet3!$D$1:$E$7,2,0))</f>
        <v/>
      </c>
      <c r="IY8" s="9" t="str">
        <f>IF(IY$7="","",VLOOKUP(WEEKDAY(DATE($B$4,$B$5+$B$3-1,IY7),2),Sheet3!$D$1:$E$7,2,0))</f>
        <v/>
      </c>
      <c r="IZ8" s="9" t="str">
        <f>IF(IZ$7="","",VLOOKUP(WEEKDAY(DATE($B$4,$B$5+$B$3-1,IZ7),2),Sheet3!$D$1:$E$7,2,0))</f>
        <v/>
      </c>
      <c r="JA8" s="9" t="str">
        <f>IF(JA$7="","",VLOOKUP(WEEKDAY(DATE($B$4,$B$5+$B$3-1,JA7),2),Sheet3!$D$1:$E$7,2,0))</f>
        <v/>
      </c>
      <c r="JB8" s="9" t="str">
        <f>IF(JB$7="","",VLOOKUP(WEEKDAY(DATE($B$4,$B$5+$B$3-1,JB7),2),Sheet3!$D$1:$E$7,2,0))</f>
        <v/>
      </c>
      <c r="JC8" s="9" t="str">
        <f>IF(JC$7="","",VLOOKUP(WEEKDAY(DATE($B$4,$B$5+$B$3-1,JC7),2),Sheet3!$D$1:$E$7,2,0))</f>
        <v/>
      </c>
      <c r="JD8" s="9" t="str">
        <f>IF(JD$7="","",VLOOKUP(WEEKDAY(DATE($B$4,$B$5+$B$3-1,JD7),2),Sheet3!$D$1:$E$7,2,0))</f>
        <v/>
      </c>
      <c r="JE8" s="9" t="str">
        <f>IF(JE$7="","",VLOOKUP(WEEKDAY(DATE($B$4,$B$5+$B$3-1,JE7),2),Sheet3!$D$1:$E$7,2,0))</f>
        <v/>
      </c>
      <c r="JF8" s="9" t="str">
        <f>IF(JF$7="","",VLOOKUP(WEEKDAY(DATE($B$4,$B$5+$B$3-1,JF7),2),Sheet3!$D$1:$E$7,2,0))</f>
        <v/>
      </c>
      <c r="JG8" s="9" t="str">
        <f>IF(JG$7="","",VLOOKUP(WEEKDAY(DATE($B$4,$B$5+$B$3-1,JG7),2),Sheet3!$D$1:$E$7,2,0))</f>
        <v/>
      </c>
      <c r="JH8" s="9" t="str">
        <f>IF(JH$7="","",VLOOKUP(WEEKDAY(DATE($B$4,$B$5+$B$3-1,JH7),2),Sheet3!$D$1:$E$7,2,0))</f>
        <v/>
      </c>
      <c r="JI8" s="9" t="str">
        <f>IF(JI$7="","",VLOOKUP(WEEKDAY(DATE($B$4,$B$5+$B$3-1,JI7),2),Sheet3!$D$1:$E$7,2,0))</f>
        <v/>
      </c>
      <c r="JJ8" s="9" t="str">
        <f>IF(JJ$7="","",VLOOKUP(WEEKDAY(DATE($B$4,$B$5+$B$3-1,JJ7),2),Sheet3!$D$1:$E$7,2,0))</f>
        <v/>
      </c>
      <c r="JK8" s="9" t="str">
        <f>IF(JK$7="","",VLOOKUP(WEEKDAY(DATE($B$4,$B$5+$B$3-1,JK7),2),Sheet3!$D$1:$E$7,2,0))</f>
        <v/>
      </c>
      <c r="JL8" s="9" t="str">
        <f>IF(JL$7="","",VLOOKUP(WEEKDAY(DATE($B$4,$B$5+$B$3-1,JL7),2),Sheet3!$D$1:$E$7,2,0))</f>
        <v/>
      </c>
      <c r="JM8" s="9" t="str">
        <f>IF(JM$7="","",VLOOKUP(WEEKDAY(DATE($B$4,$B$5+$B$3-1,JM7),2),Sheet3!$D$1:$E$7,2,0))</f>
        <v/>
      </c>
      <c r="JN8" s="9" t="str">
        <f>IF(JN$7="","",VLOOKUP(WEEKDAY(DATE($B$4,$B$5+$B$3-1,JN7),2),Sheet3!$D$1:$E$7,2,0))</f>
        <v/>
      </c>
      <c r="JO8" s="9" t="str">
        <f>IF(JO$7="","",VLOOKUP(WEEKDAY(DATE($B$4,$B$5+$B$3-1,JO7),2),Sheet3!$D$1:$E$7,2,0))</f>
        <v/>
      </c>
      <c r="JP8" s="9" t="str">
        <f>IF(JP$7="","",VLOOKUP(WEEKDAY(DATE($B$4,$B$5+$B$3-1,JP7),2),Sheet3!$D$1:$E$7,2,0))</f>
        <v/>
      </c>
      <c r="JQ8" s="9" t="str">
        <f>IF(JQ$7="","",VLOOKUP(WEEKDAY(DATE($B$4,$B$5+$B$3-1,JQ7),2),Sheet3!$D$1:$E$7,2,0))</f>
        <v/>
      </c>
      <c r="JR8" s="9" t="str">
        <f>IF(JR$7="","",VLOOKUP(WEEKDAY(DATE($B$4,$B$5+$B$3-1,JR7),2),Sheet3!$D$1:$E$7,2,0))</f>
        <v/>
      </c>
      <c r="JS8" s="9" t="str">
        <f>IF(JS$7="","",VLOOKUP(WEEKDAY(DATE($B$4,$B$5+$B$3-1,JS7),2),Sheet3!$D$1:$E$7,2,0))</f>
        <v/>
      </c>
      <c r="JT8" s="9" t="str">
        <f>IF(JT$7="","",VLOOKUP(WEEKDAY(DATE($B$4,$B$5+$B$3-1,JT7),2),Sheet3!$D$1:$E$7,2,0))</f>
        <v/>
      </c>
      <c r="JU8" s="9" t="str">
        <f>IF(JU$7="","",VLOOKUP(WEEKDAY(DATE($B$4,$B$5+$B$3-1,JU7),2),Sheet3!$D$1:$E$7,2,0))</f>
        <v/>
      </c>
      <c r="JV8" s="9" t="str">
        <f>IF(JV$7="","",VLOOKUP(WEEKDAY(DATE($B$4,$B$5+$B$3-1,JV7),2),Sheet3!$D$1:$E$7,2,0))</f>
        <v/>
      </c>
      <c r="JW8" s="9" t="str">
        <f>IF(JW$7="","",VLOOKUP(WEEKDAY(DATE($B$4,$B$5+$B$3-1,JW7),2),Sheet3!$D$1:$E$7,2,0))</f>
        <v/>
      </c>
      <c r="JX8" s="9" t="str">
        <f>IF(JX$7="","",VLOOKUP(WEEKDAY(DATE($B$4,$B$5+$B$3-1,JX7),2),Sheet3!$D$1:$E$7,2,0))</f>
        <v/>
      </c>
      <c r="JY8" s="9" t="str">
        <f>IF(JY$7="","",VLOOKUP(WEEKDAY(DATE($B$4,$B$5+$B$3-1,JY7),2),Sheet3!$D$1:$E$7,2,0))</f>
        <v/>
      </c>
      <c r="JZ8" s="9" t="str">
        <f>IF(JZ$7="","",VLOOKUP(WEEKDAY(DATE($B$4,$B$5+$B$3-1,JZ7),2),Sheet3!$D$1:$E$7,2,0))</f>
        <v/>
      </c>
      <c r="KA8" s="9" t="str">
        <f>IF(KA$7="","",VLOOKUP(WEEKDAY(DATE($B$4,$B$5+$B$3-1,KA7),2),Sheet3!$D$1:$E$7,2,0))</f>
        <v/>
      </c>
      <c r="KB8" s="9" t="str">
        <f>IF(KB$7="","",VLOOKUP(WEEKDAY(DATE($B$4,$B$5+$B$3-1,KB7),2),Sheet3!$D$1:$E$7,2,0))</f>
        <v/>
      </c>
      <c r="KC8" s="9" t="str">
        <f>IF(KC$7="","",VLOOKUP(WEEKDAY(DATE($B$4,$B$5+$B$3-1,KC7),2),Sheet3!$D$1:$E$7,2,0))</f>
        <v/>
      </c>
      <c r="KD8" s="9" t="str">
        <f>IF(KD$7="","",VLOOKUP(WEEKDAY(DATE($B$4,$B$5+$B$3-1,KD7),2),Sheet3!$D$1:$E$7,2,0))</f>
        <v/>
      </c>
      <c r="KE8" s="9" t="str">
        <f>IF(KE$7="","",VLOOKUP(WEEKDAY(DATE($B$4,$B$5+$B$3-1,KE7),2),Sheet3!$D$1:$E$7,2,0))</f>
        <v/>
      </c>
      <c r="KF8" s="9" t="str">
        <f>IF(KF$7="","",VLOOKUP(WEEKDAY(DATE($B$4,$B$5+$B$3-1,KF7),2),Sheet3!$D$1:$E$7,2,0))</f>
        <v/>
      </c>
      <c r="KG8" s="9" t="str">
        <f>IF(KG$7="","",VLOOKUP(WEEKDAY(DATE($B$4,$B$5+$B$3-1,KG7),2),Sheet3!$D$1:$E$7,2,0))</f>
        <v/>
      </c>
      <c r="KH8" s="9" t="str">
        <f>IF(KH$7="","",VLOOKUP(WEEKDAY(DATE($B$4,$B$5+$B$3-1,KH7),2),Sheet3!$D$1:$E$7,2,0))</f>
        <v/>
      </c>
      <c r="KI8" s="9" t="str">
        <f>IF(KI$7="","",VLOOKUP(WEEKDAY(DATE($B$4,$B$5+$B$3-1,KI7),2),Sheet3!$D$1:$E$7,2,0))</f>
        <v/>
      </c>
      <c r="KJ8" s="9" t="str">
        <f>IF(KJ$7="","",VLOOKUP(WEEKDAY(DATE($B$4,$B$5+$B$3-1,KJ7),2),Sheet3!$D$1:$E$7,2,0))</f>
        <v/>
      </c>
      <c r="KK8" s="9" t="str">
        <f>IF(KK$7="","",VLOOKUP(WEEKDAY(DATE($B$4,$B$5+$B$3-1,KK7),2),Sheet3!$D$1:$E$7,2,0))</f>
        <v/>
      </c>
      <c r="KL8" s="9" t="str">
        <f>IF(KL$7="","",VLOOKUP(WEEKDAY(DATE($B$4,$B$5+$B$3-1,KL7),2),Sheet3!$D$1:$E$7,2,0))</f>
        <v/>
      </c>
      <c r="KM8" s="9" t="str">
        <f>IF(KM$7="","",VLOOKUP(WEEKDAY(DATE($B$4,$B$5+$B$3-1,KM7),2),Sheet3!$D$1:$E$7,2,0))</f>
        <v/>
      </c>
      <c r="KN8" s="9" t="str">
        <f>IF(KN$7="","",VLOOKUP(WEEKDAY(DATE($B$4,$B$5+$B$3-1,KN7),2),Sheet3!$D$1:$E$7,2,0))</f>
        <v/>
      </c>
      <c r="KO8" s="9" t="str">
        <f>IF(KO$7="","",VLOOKUP(WEEKDAY(DATE($B$4,$B$5+$B$3-1,KO7),2),Sheet3!$D$1:$E$7,2,0))</f>
        <v/>
      </c>
      <c r="KP8" s="9" t="str">
        <f>IF(KP$7="","",VLOOKUP(WEEKDAY(DATE($B$4,$B$5+$B$3-1,KP7),2),Sheet3!$D$1:$E$7,2,0))</f>
        <v/>
      </c>
      <c r="KQ8" s="9" t="str">
        <f>IF(KQ$7="","",VLOOKUP(WEEKDAY(DATE($B$4,$B$5+$B$3-1,KQ7),2),Sheet3!$D$1:$E$7,2,0))</f>
        <v/>
      </c>
      <c r="KR8" s="9" t="str">
        <f>IF(KR$7="","",VLOOKUP(WEEKDAY(DATE($B$4,$B$5+$B$3-1,KR7),2),Sheet3!$D$1:$E$7,2,0))</f>
        <v/>
      </c>
      <c r="KS8" s="9" t="str">
        <f>IF(KS$7="","",VLOOKUP(WEEKDAY(DATE($B$4,$B$5+$B$3-1,KS7),2),Sheet3!$D$1:$E$7,2,0))</f>
        <v/>
      </c>
      <c r="KT8" s="9" t="str">
        <f>IF(KT$7="","",VLOOKUP(WEEKDAY(DATE($B$4,$B$5+$B$3-1,KT7),2),Sheet3!$D$1:$E$7,2,0))</f>
        <v/>
      </c>
      <c r="KU8" s="9" t="str">
        <f>IF(KU$7="","",VLOOKUP(WEEKDAY(DATE($B$4,$B$5+$B$3-1,KU7),2),Sheet3!$D$1:$E$7,2,0))</f>
        <v/>
      </c>
      <c r="KV8" s="9" t="str">
        <f>IF(KV$7="","",VLOOKUP(WEEKDAY(DATE($B$4,$B$5+$B$3-1,KV7),2),Sheet3!$D$1:$E$7,2,0))</f>
        <v/>
      </c>
      <c r="KW8" s="9" t="str">
        <f>IF(KW$7="","",VLOOKUP(WEEKDAY(DATE($B$4,$B$5+$B$3-1,KW7),2),Sheet3!$D$1:$E$7,2,0))</f>
        <v/>
      </c>
      <c r="KX8" s="9" t="str">
        <f>IF(KX$7="","",VLOOKUP(WEEKDAY(DATE($B$4,$B$5+$B$3-1,KX7),2),Sheet3!$D$1:$E$7,2,0))</f>
        <v/>
      </c>
      <c r="KY8" s="9" t="str">
        <f>IF(KY$7="","",VLOOKUP(WEEKDAY(DATE($B$4,$B$5+$B$3-1,KY7),2),Sheet3!$D$1:$E$7,2,0))</f>
        <v/>
      </c>
      <c r="KZ8" s="9" t="str">
        <f>IF(KZ$7="","",VLOOKUP(WEEKDAY(DATE($B$4,$B$5+$B$3-1,KZ7),2),Sheet3!$D$1:$E$7,2,0))</f>
        <v/>
      </c>
      <c r="LA8" s="9" t="str">
        <f>IF(LA$7="","",VLOOKUP(WEEKDAY(DATE($B$4,$B$5+$B$3-1,LA7),2),Sheet3!$D$1:$E$7,2,0))</f>
        <v/>
      </c>
      <c r="LB8" s="9" t="str">
        <f>IF(LB$7="","",VLOOKUP(WEEKDAY(DATE($B$4,$B$5+$B$3-1,LB7),2),Sheet3!$D$1:$E$7,2,0))</f>
        <v/>
      </c>
      <c r="LC8" s="9" t="str">
        <f>IF(LC$7="","",VLOOKUP(WEEKDAY(DATE($B$4,$B$5+$B$3-1,LC7),2),Sheet3!$D$1:$E$7,2,0))</f>
        <v/>
      </c>
      <c r="LD8" s="9" t="str">
        <f>IF(LD$7="","",VLOOKUP(WEEKDAY(DATE($B$4,$B$5+$B$3-1,LD7),2),Sheet3!$D$1:$E$7,2,0))</f>
        <v/>
      </c>
      <c r="LE8" s="9" t="str">
        <f>IF(LE$7="","",VLOOKUP(WEEKDAY(DATE($B$4,$B$5+$B$3-1,LE7),2),Sheet3!$D$1:$E$7,2,0))</f>
        <v/>
      </c>
      <c r="LF8" s="9" t="str">
        <f>IF(LF$7="","",VLOOKUP(WEEKDAY(DATE($B$4,$B$5+$B$3-1,LF7),2),Sheet3!$D$1:$E$7,2,0))</f>
        <v/>
      </c>
      <c r="LG8" s="9" t="str">
        <f>IF(LG$7="","",VLOOKUP(WEEKDAY(DATE($B$4,$B$5+$B$3-1,LG7),2),Sheet3!$D$1:$E$7,2,0))</f>
        <v/>
      </c>
      <c r="LH8" s="9" t="str">
        <f>IF(LH$7="","",VLOOKUP(WEEKDAY(DATE($B$4,$B$5+$B$3-1,LH7),2),Sheet3!$D$1:$E$7,2,0))</f>
        <v/>
      </c>
      <c r="LI8" s="9" t="str">
        <f>IF(LI$7="","",VLOOKUP(WEEKDAY(DATE($B$4,$B$5+$B$3-1,LI7),2),Sheet3!$D$1:$E$7,2,0))</f>
        <v/>
      </c>
      <c r="LJ8" s="9" t="str">
        <f>IF(LJ$7="","",VLOOKUP(WEEKDAY(DATE($B$4,$B$5+$B$3-1,LJ7),2),Sheet3!$D$1:$E$7,2,0))</f>
        <v/>
      </c>
      <c r="LK8" s="9" t="str">
        <f>IF(LK$7="","",VLOOKUP(WEEKDAY(DATE($B$4,$B$5+$B$3-1,LK7),2),Sheet3!$D$1:$E$7,2,0))</f>
        <v/>
      </c>
      <c r="LL8" s="9" t="str">
        <f>IF(LL$7="","",VLOOKUP(WEEKDAY(DATE($B$4,$B$5+$B$3-1,LL7),2),Sheet3!$D$1:$E$7,2,0))</f>
        <v/>
      </c>
      <c r="LM8" s="9" t="str">
        <f>IF(LM$7="","",VLOOKUP(WEEKDAY(DATE($B$4,$B$5+$B$3-1,LM7),2),Sheet3!$D$1:$E$7,2,0))</f>
        <v/>
      </c>
      <c r="LN8" s="9" t="str">
        <f>IF(LN$7="","",VLOOKUP(WEEKDAY(DATE($B$4,$B$5+$B$3-1,LN7),2),Sheet3!$D$1:$E$7,2,0))</f>
        <v/>
      </c>
      <c r="LO8" s="9" t="str">
        <f>IF(LO$7="","",VLOOKUP(WEEKDAY(DATE($B$4,$B$5+$B$3-1,LO7),2),Sheet3!$D$1:$E$7,2,0))</f>
        <v/>
      </c>
      <c r="LP8" s="9" t="str">
        <f>IF(LP$7="","",VLOOKUP(WEEKDAY(DATE($B$4,$B$5+$B$3-1,LP7),2),Sheet3!$D$1:$E$7,2,0))</f>
        <v/>
      </c>
      <c r="LQ8" s="9" t="str">
        <f>IF(LQ$7="","",VLOOKUP(WEEKDAY(DATE($B$4,$B$5+$B$3-1,LQ7),2),Sheet3!$D$1:$E$7,2,0))</f>
        <v/>
      </c>
      <c r="LR8" s="9" t="str">
        <f>IF(LR$7="","",VLOOKUP(WEEKDAY(DATE($B$4,$B$5+$B$3-1,LR7),2),Sheet3!$D$1:$E$7,2,0))</f>
        <v/>
      </c>
      <c r="LS8" s="9" t="str">
        <f>IF(LS$7="","",VLOOKUP(WEEKDAY(DATE($B$4,$B$5+$B$3-1,LS7),2),Sheet3!$D$1:$E$7,2,0))</f>
        <v/>
      </c>
      <c r="LT8" s="9" t="str">
        <f>IF(LT$7="","",VLOOKUP(WEEKDAY(DATE($B$4,$B$5+$B$3-1,LT7),2),Sheet3!$D$1:$E$7,2,0))</f>
        <v/>
      </c>
      <c r="LU8" s="9" t="str">
        <f>IF(LU$7="","",VLOOKUP(WEEKDAY(DATE($B$4,$B$5+$B$3-1,LU7),2),Sheet3!$D$1:$E$7,2,0))</f>
        <v/>
      </c>
      <c r="LV8" s="9" t="str">
        <f>IF(LV$7="","",VLOOKUP(WEEKDAY(DATE($B$4,$B$5+$B$3-1,LV7),2),Sheet3!$D$1:$E$7,2,0))</f>
        <v/>
      </c>
      <c r="LW8" s="9" t="str">
        <f>IF(LW$7="","",VLOOKUP(WEEKDAY(DATE($B$4,$B$5+$B$3-1,LW7),2),Sheet3!$D$1:$E$7,2,0))</f>
        <v/>
      </c>
      <c r="LX8" s="9" t="str">
        <f>IF(LX$7="","",VLOOKUP(WEEKDAY(DATE($B$4,$B$5+$B$3-1,LX7),2),Sheet3!$D$1:$E$7,2,0))</f>
        <v/>
      </c>
      <c r="LY8" s="9" t="str">
        <f>IF(LY$7="","",VLOOKUP(WEEKDAY(DATE($B$4,$B$5+$B$3-1,LY7),2),Sheet3!$D$1:$E$7,2,0))</f>
        <v/>
      </c>
      <c r="LZ8" s="9" t="str">
        <f>IF(LZ$7="","",VLOOKUP(WEEKDAY(DATE($B$4,$B$5+$B$3-1,LZ7),2),Sheet3!$D$1:$E$7,2,0))</f>
        <v/>
      </c>
      <c r="MA8" s="9" t="str">
        <f>IF(MA$7="","",VLOOKUP(WEEKDAY(DATE($B$4,$B$5+$B$3-1,MA7),2),Sheet3!$D$1:$E$7,2,0))</f>
        <v/>
      </c>
      <c r="MB8" s="9" t="str">
        <f>IF(MB$7="","",VLOOKUP(WEEKDAY(DATE($B$4,$B$5+$B$3-1,MB7),2),Sheet3!$D$1:$E$7,2,0))</f>
        <v/>
      </c>
      <c r="MC8" s="9" t="str">
        <f>IF(MC$7="","",VLOOKUP(WEEKDAY(DATE($B$4,$B$5+$B$3-1,MC7),2),Sheet3!$D$1:$E$7,2,0))</f>
        <v/>
      </c>
      <c r="MD8" s="9" t="str">
        <f>IF(MD$7="","",VLOOKUP(WEEKDAY(DATE($B$4,$B$5+$B$3-1,MD7),2),Sheet3!$D$1:$E$7,2,0))</f>
        <v/>
      </c>
      <c r="ME8" s="9" t="str">
        <f>IF(ME$7="","",VLOOKUP(WEEKDAY(DATE($B$4,$B$5+$B$3-1,ME7),2),Sheet3!$D$1:$E$7,2,0))</f>
        <v/>
      </c>
      <c r="MF8" s="9" t="str">
        <f>IF(MF$7="","",VLOOKUP(WEEKDAY(DATE($B$4,$B$5+$B$3-1,MF7),2),Sheet3!$D$1:$E$7,2,0))</f>
        <v/>
      </c>
      <c r="MG8" s="9" t="str">
        <f>IF(MG$7="","",VLOOKUP(WEEKDAY(DATE($B$4,$B$5+$B$3-1,MG7),2),Sheet3!$D$1:$E$7,2,0))</f>
        <v/>
      </c>
      <c r="MH8" s="9" t="str">
        <f>IF(MH$7="","",VLOOKUP(WEEKDAY(DATE($B$4,$B$5+$B$3-1,MH7),2),Sheet3!$D$1:$E$7,2,0))</f>
        <v/>
      </c>
      <c r="MI8" s="9" t="str">
        <f>IF(MI$7="","",VLOOKUP(WEEKDAY(DATE($B$4,$B$5+$B$3-1,MI7),2),Sheet3!$D$1:$E$7,2,0))</f>
        <v/>
      </c>
      <c r="MJ8" s="9" t="str">
        <f>IF(MJ$7="","",VLOOKUP(WEEKDAY(DATE($B$4,$B$5+$B$3-1,MJ7),2),Sheet3!$D$1:$E$7,2,0))</f>
        <v/>
      </c>
      <c r="MK8" s="9" t="str">
        <f>IF(MK$7="","",VLOOKUP(WEEKDAY(DATE($B$4,$B$5+$B$3-1,MK7),2),Sheet3!$D$1:$E$7,2,0))</f>
        <v/>
      </c>
      <c r="ML8" s="9" t="str">
        <f>IF(ML$7="","",VLOOKUP(WEEKDAY(DATE($B$4,$B$5+$B$3-1,ML7),2),Sheet3!$D$1:$E$7,2,0))</f>
        <v/>
      </c>
      <c r="MM8" s="9" t="str">
        <f>IF(MM$7="","",VLOOKUP(WEEKDAY(DATE($B$4,$B$5+$B$3-1,MM7),2),Sheet3!$D$1:$E$7,2,0))</f>
        <v/>
      </c>
      <c r="MN8" s="9" t="str">
        <f>IF(MN$7="","",VLOOKUP(WEEKDAY(DATE($B$4,$B$5+$B$3-1,MN7),2),Sheet3!$D$1:$E$7,2,0))</f>
        <v/>
      </c>
      <c r="MO8" s="9" t="str">
        <f>IF(MO$7="","",VLOOKUP(WEEKDAY(DATE($B$4,$B$5+$B$3-1,MO7),2),Sheet3!$D$1:$E$7,2,0))</f>
        <v/>
      </c>
      <c r="MP8" s="9" t="str">
        <f>IF(MP$7="","",VLOOKUP(WEEKDAY(DATE($B$4,$B$5+$B$3-1,MP7),2),Sheet3!$D$1:$E$7,2,0))</f>
        <v/>
      </c>
      <c r="MQ8" s="9" t="str">
        <f>IF(MQ$7="","",VLOOKUP(WEEKDAY(DATE($B$4,$B$5+$B$3-1,MQ7),2),Sheet3!$D$1:$E$7,2,0))</f>
        <v/>
      </c>
      <c r="MR8" s="9" t="str">
        <f>IF(MR$7="","",VLOOKUP(WEEKDAY(DATE($B$4,$B$5+$B$3-1,MR7),2),Sheet3!$D$1:$E$7,2,0))</f>
        <v/>
      </c>
      <c r="MS8" s="9" t="str">
        <f>IF(MS$7="","",VLOOKUP(WEEKDAY(DATE($B$4,$B$5+$B$3-1,MS7),2),Sheet3!$D$1:$E$7,2,0))</f>
        <v/>
      </c>
      <c r="MT8" s="9" t="str">
        <f>IF(MT$7="","",VLOOKUP(WEEKDAY(DATE($B$4,$B$5+$B$3-1,MT7),2),Sheet3!$D$1:$E$7,2,0))</f>
        <v/>
      </c>
      <c r="MU8" s="9" t="str">
        <f>IF(MU$7="","",VLOOKUP(WEEKDAY(DATE($B$4,$B$5+$B$3-1,MU7),2),Sheet3!$D$1:$E$7,2,0))</f>
        <v/>
      </c>
      <c r="MV8" s="9" t="str">
        <f>IF(MV$7="","",VLOOKUP(WEEKDAY(DATE($B$4,$B$5+$B$3-1,MV7),2),Sheet3!$D$1:$E$7,2,0))</f>
        <v/>
      </c>
      <c r="MW8" s="9" t="str">
        <f>IF(MW$7="","",VLOOKUP(WEEKDAY(DATE($B$4,$B$5+$B$3-1,MW7),2),Sheet3!$D$1:$E$7,2,0))</f>
        <v/>
      </c>
      <c r="MX8" s="9" t="str">
        <f>IF(MX$7="","",VLOOKUP(WEEKDAY(DATE($B$4,$B$5+$B$3-1,MX7),2),Sheet3!$D$1:$E$7,2,0))</f>
        <v/>
      </c>
      <c r="MY8" s="9" t="str">
        <f>IF(MY$7="","",VLOOKUP(WEEKDAY(DATE($B$4,$B$5+$B$3-1,MY7),2),Sheet3!$D$1:$E$7,2,0))</f>
        <v/>
      </c>
      <c r="MZ8" s="9" t="str">
        <f>IF(MZ$7="","",VLOOKUP(WEEKDAY(DATE($B$4,$B$5+$B$3-1,MZ7),2),Sheet3!$D$1:$E$7,2,0))</f>
        <v/>
      </c>
      <c r="NA8" s="9" t="str">
        <f>IF(NA$7="","",VLOOKUP(WEEKDAY(DATE($B$4,$B$5+$B$3-1,NA7),2),Sheet3!$D$1:$E$7,2,0))</f>
        <v/>
      </c>
      <c r="NB8" s="9" t="str">
        <f>IF(NB$7="","",VLOOKUP(WEEKDAY(DATE($B$4,$B$5+$B$3-1,NB7),2),Sheet3!$D$1:$E$7,2,0))</f>
        <v/>
      </c>
      <c r="NC8" s="9" t="str">
        <f>IF(NC$7="","",VLOOKUP(WEEKDAY(DATE($B$4,$B$5+$B$3-1,NC7),2),Sheet3!$D$1:$E$7,2,0))</f>
        <v/>
      </c>
      <c r="ND8" s="9" t="str">
        <f>IF(ND$7="","",VLOOKUP(WEEKDAY(DATE($B$4,$B$5+$B$3-1,ND7),2),Sheet3!$D$1:$E$7,2,0))</f>
        <v/>
      </c>
      <c r="NE8" s="9" t="str">
        <f>IF(NE$7="","",VLOOKUP(WEEKDAY(DATE($B$4,$B$5+$B$3-1,NE7),2),Sheet3!$D$1:$E$7,2,0))</f>
        <v/>
      </c>
      <c r="NF8" s="9" t="str">
        <f>IF(NF$7="","",VLOOKUP(WEEKDAY(DATE($B$4,$B$5+$B$3-1,NF7),2),Sheet3!$D$1:$E$7,2,0))</f>
        <v/>
      </c>
      <c r="NG8" s="9" t="str">
        <f>IF(NG$7="","",VLOOKUP(WEEKDAY(DATE($B$4,$B$5+$B$3-1,NG7),2),Sheet3!$D$1:$E$7,2,0))</f>
        <v/>
      </c>
      <c r="NH8" s="9" t="str">
        <f>IF(NH$7="","",VLOOKUP(WEEKDAY(DATE($B$4,$B$5+$B$3-1,NH7),2),Sheet3!$D$1:$E$7,2,0))</f>
        <v/>
      </c>
      <c r="NI8" s="9" t="str">
        <f>IF(NI$7="","",VLOOKUP(WEEKDAY(DATE($B$4,$B$5+$B$3-1,NI7),2),Sheet3!$D$1:$E$7,2,0))</f>
        <v/>
      </c>
      <c r="NJ8" s="9" t="str">
        <f>IF(NJ$7="","",VLOOKUP(WEEKDAY(DATE($B$4,$B$5+$B$3-1,NJ7),2),Sheet3!$D$1:$E$7,2,0))</f>
        <v>Mon</v>
      </c>
      <c r="NK8" s="81"/>
      <c r="NL8" s="83"/>
      <c r="NM8" s="89"/>
      <c r="NN8" s="89"/>
      <c r="NO8" s="89"/>
      <c r="NP8" s="89"/>
      <c r="NQ8" s="88"/>
      <c r="NR8" s="88"/>
      <c r="NS8" s="88"/>
      <c r="NX8" s="24" t="s">
        <v>38</v>
      </c>
      <c r="NY8" s="24" t="s">
        <v>39</v>
      </c>
    </row>
    <row r="9" spans="1:762" ht="15" hidden="1" customHeight="1" x14ac:dyDescent="0.35">
      <c r="B9" s="4" t="s">
        <v>18</v>
      </c>
      <c r="C9" s="21" t="e">
        <f>IF(C$7="","",WEEKNUM(DATE($B$4,VLOOKUP($B$3,Sheet3!$A$1:$B$12,2,0),COLUMNS($B$8:B8)),2))</f>
        <v>#N/A</v>
      </c>
      <c r="D9" s="21" t="e">
        <f>IF(D$7="","",WEEKNUM(DATE($B$4,VLOOKUP($B$3,Sheet3!$A$1:$B$12,2,0),COLUMNS($B$8:C8)),2))</f>
        <v>#N/A</v>
      </c>
      <c r="E9" s="21" t="e">
        <f>IF(E$7="","",WEEKNUM(DATE($B$4,VLOOKUP($B$3,Sheet3!$A$1:$B$12,2,0),COLUMNS($B$8:D8)),2))</f>
        <v>#N/A</v>
      </c>
      <c r="F9" s="21" t="e">
        <f>IF(F$7="","",WEEKNUM(DATE($B$4,VLOOKUP($B$3,Sheet3!$A$1:$B$12,2,0),COLUMNS($B$8:E8)),2))</f>
        <v>#N/A</v>
      </c>
      <c r="G9" s="21" t="e">
        <f>IF(G$7="","",WEEKNUM(DATE($B$4,VLOOKUP($B$3,Sheet3!$A$1:$B$12,2,0),COLUMNS($B$8:F8)),2))</f>
        <v>#N/A</v>
      </c>
      <c r="H9" s="21" t="e">
        <f>IF(H$7="","",WEEKNUM(DATE($B$4,VLOOKUP($B$3,Sheet3!$A$1:$B$12,2,0),COLUMNS($B$8:G8)),2))</f>
        <v>#N/A</v>
      </c>
      <c r="I9" s="21" t="e">
        <f>IF(I$7="","",WEEKNUM(DATE($B$4,VLOOKUP($B$3,Sheet3!$A$1:$B$12,2,0),COLUMNS($B$8:H8)),2))</f>
        <v>#N/A</v>
      </c>
      <c r="J9" s="21" t="e">
        <f>IF(J$7="","",WEEKNUM(DATE($B$4,VLOOKUP($B$3,Sheet3!$A$1:$B$12,2,0),COLUMNS($B$8:I8)),2))</f>
        <v>#N/A</v>
      </c>
      <c r="K9" s="21" t="e">
        <f>IF(K$7="","",WEEKNUM(DATE($B$4,VLOOKUP($B$3,Sheet3!$A$1:$B$12,2,0),COLUMNS($B$8:J8)),2))</f>
        <v>#N/A</v>
      </c>
      <c r="L9" s="21" t="e">
        <f>IF(L$7="","",WEEKNUM(DATE($B$4,VLOOKUP($B$3,Sheet3!$A$1:$B$12,2,0),COLUMNS($B$8:K8)),2))</f>
        <v>#N/A</v>
      </c>
      <c r="M9" s="21" t="e">
        <f>IF(M$7="","",WEEKNUM(DATE($B$4,VLOOKUP($B$3,Sheet3!$A$1:$B$12,2,0),COLUMNS($B$8:L8)),2))</f>
        <v>#N/A</v>
      </c>
      <c r="N9" s="21" t="e">
        <f>IF(N$7="","",WEEKNUM(DATE($B$4,VLOOKUP($B$3,Sheet3!$A$1:$B$12,2,0),COLUMNS($B$8:M8)),2))</f>
        <v>#N/A</v>
      </c>
      <c r="O9" s="21" t="e">
        <f>IF(O$7="","",WEEKNUM(DATE($B$4,VLOOKUP($B$3,Sheet3!$A$1:$B$12,2,0),COLUMNS($B$8:N8)),2))</f>
        <v>#N/A</v>
      </c>
      <c r="P9" s="21" t="e">
        <f>IF(P$7="","",WEEKNUM(DATE($B$4,VLOOKUP($B$3,Sheet3!$A$1:$B$12,2,0),COLUMNS($B$8:O8)),2))</f>
        <v>#N/A</v>
      </c>
      <c r="Q9" s="21" t="e">
        <f>IF(Q$7="","",WEEKNUM(DATE($B$4,VLOOKUP($B$3,Sheet3!$A$1:$B$12,2,0),COLUMNS($B$8:P8)),2))</f>
        <v>#N/A</v>
      </c>
      <c r="R9" s="21" t="e">
        <f>IF(R$7="","",WEEKNUM(DATE($B$4,VLOOKUP($B$3,Sheet3!$A$1:$B$12,2,0),COLUMNS($B$8:Q8)),2))</f>
        <v>#N/A</v>
      </c>
      <c r="S9" s="21" t="e">
        <f>IF(S$7="","",WEEKNUM(DATE($B$4,VLOOKUP($B$3,Sheet3!$A$1:$B$12,2,0),COLUMNS($B$8:R8)),2))</f>
        <v>#N/A</v>
      </c>
      <c r="T9" s="21" t="e">
        <f>IF(T$7="","",WEEKNUM(DATE($B$4,VLOOKUP($B$3,Sheet3!$A$1:$B$12,2,0),COLUMNS($B$8:S8)),2))</f>
        <v>#N/A</v>
      </c>
      <c r="U9" s="21" t="e">
        <f>IF(U$7="","",WEEKNUM(DATE($B$4,VLOOKUP($B$3,Sheet3!$A$1:$B$12,2,0),COLUMNS($B$8:T8)),2))</f>
        <v>#N/A</v>
      </c>
      <c r="V9" s="21" t="e">
        <f>IF(V$7="","",WEEKNUM(DATE($B$4,VLOOKUP($B$3,Sheet3!$A$1:$B$12,2,0),COLUMNS($B$8:U8)),2))</f>
        <v>#N/A</v>
      </c>
      <c r="W9" s="21" t="e">
        <f>IF(W$7="","",WEEKNUM(DATE($B$4,VLOOKUP($B$3,Sheet3!$A$1:$B$12,2,0),COLUMNS($B$8:V8)),2))</f>
        <v>#N/A</v>
      </c>
      <c r="X9" s="21" t="e">
        <f>IF(X$7="","",WEEKNUM(DATE($B$4,VLOOKUP($B$3,Sheet3!$A$1:$B$12,2,0),COLUMNS($B$8:W8)),2))</f>
        <v>#N/A</v>
      </c>
      <c r="Y9" s="21" t="e">
        <f>IF(Y$7="","",WEEKNUM(DATE($B$4,VLOOKUP($B$3,Sheet3!$A$1:$B$12,2,0),COLUMNS($B$8:X8)),2))</f>
        <v>#N/A</v>
      </c>
      <c r="Z9" s="21" t="e">
        <f>IF(Z$7="","",WEEKNUM(DATE($B$4,VLOOKUP($B$3,Sheet3!$A$1:$B$12,2,0),COLUMNS($B$8:Y8)),2))</f>
        <v>#N/A</v>
      </c>
      <c r="AA9" s="21" t="e">
        <f>IF(AA$7="","",WEEKNUM(DATE($B$4,VLOOKUP($B$3,Sheet3!$A$1:$B$12,2,0),COLUMNS($B$8:Z8)),2))</f>
        <v>#N/A</v>
      </c>
      <c r="AB9" s="21" t="e">
        <f>IF(AB$7="","",WEEKNUM(DATE($B$4,VLOOKUP($B$3,Sheet3!$A$1:$B$12,2,0),COLUMNS($B$8:AA8)),2))</f>
        <v>#N/A</v>
      </c>
      <c r="AC9" s="21" t="e">
        <f>IF(AC$7="","",WEEKNUM(DATE($B$4,VLOOKUP($B$3,Sheet3!$A$1:$B$12,2,0),COLUMNS($B$8:AB8)),2))</f>
        <v>#N/A</v>
      </c>
      <c r="AD9" s="21" t="e">
        <f>IF(AD$7="","",WEEKNUM(DATE($B$4,VLOOKUP($B$3,Sheet3!$A$1:$B$12,2,0),COLUMNS($B$8:AC8)),2))</f>
        <v>#N/A</v>
      </c>
      <c r="AE9" s="21" t="e">
        <f>IF(AE$7="","",WEEKNUM(DATE($B$4,VLOOKUP($B$3,Sheet3!$A$1:$B$12,2,0),COLUMNS($B$8:AD8)),2))</f>
        <v>#N/A</v>
      </c>
      <c r="AF9" s="21" t="e">
        <f>IF(AF$7="","",WEEKNUM(DATE($B$4,VLOOKUP($B$3,Sheet3!$A$1:$B$12,2,0),COLUMNS($B$8:AE8)),2))</f>
        <v>#N/A</v>
      </c>
      <c r="AG9" s="21" t="str">
        <f>IF(AG$7="","",WEEKNUM(DATE($B$4,VLOOKUP($B$3,Sheet3!$A$1:$B$12,2,0),COLUMNS($B$8:AF8)),2))</f>
        <v/>
      </c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4"/>
      <c r="NL9" s="22"/>
      <c r="NM9" s="23"/>
      <c r="NN9" s="23"/>
      <c r="NO9" s="23"/>
      <c r="NP9" s="23"/>
      <c r="NQ9" s="23"/>
      <c r="NR9" s="23"/>
      <c r="NS9" s="23"/>
      <c r="NX9" s="1"/>
      <c r="NY9" s="1"/>
    </row>
    <row r="10" spans="1:762" x14ac:dyDescent="0.35">
      <c r="B10" s="54" t="s">
        <v>73</v>
      </c>
      <c r="C10" s="37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15" cm="1">
        <f t="array" aca="1" ref="NK10" ca="1">SUMPRODUCT((OFFSET($B10,0,31*($B$5-1)+1,1,31)&lt;&gt;"")*(IF(OFFSET($B10,0,31*($B$5-1)+1,1,31)=$NY$12,0.5,IF(OFFSET($B10,0,31*($B$5-1)+1,1,31)=$NY$13,0.5,1))*(OFFSET($B$6,0,31*($B$5-1)+1,1,31))))</f>
        <v>0</v>
      </c>
      <c r="NL10" s="19" cm="1">
        <f t="array" aca="1" ref="NL10" ca="1">SUMPRODUCT((OFFSET($B10,0,1,1,372)&lt;&gt;"")*(IF(OFFSET($B10,0,1,1,372)=$NY$12,0.5,IF(OFFSET($B10,0,1,1,372)=$NY$13,0.5,1))*(OFFSET($B$5,0,1,1,372))))</f>
        <v>0</v>
      </c>
      <c r="NM10" s="38">
        <f t="shared" ref="NM10:NS37" ca="1" si="6">SUMPRODUCT((OFFSET($B10,0,1,1,372)&lt;&gt;"")*(OFFSET($B$5,0,1,1,372))*((OFFSET($B10,0,1,1,372))=NM$7))</f>
        <v>0</v>
      </c>
      <c r="NN10" s="38">
        <f t="shared" ca="1" si="6"/>
        <v>0</v>
      </c>
      <c r="NO10" s="38">
        <f t="shared" ca="1" si="6"/>
        <v>0</v>
      </c>
      <c r="NP10" s="38">
        <f t="shared" ca="1" si="6"/>
        <v>0</v>
      </c>
      <c r="NQ10" s="38">
        <f t="shared" ca="1" si="6"/>
        <v>0</v>
      </c>
      <c r="NR10" s="38">
        <f t="shared" ca="1" si="6"/>
        <v>0</v>
      </c>
      <c r="NS10" s="38">
        <f t="shared" ca="1" si="6"/>
        <v>0</v>
      </c>
      <c r="NX10" s="43" t="s">
        <v>49</v>
      </c>
      <c r="NY10" s="44" t="s">
        <v>57</v>
      </c>
    </row>
    <row r="11" spans="1:762" x14ac:dyDescent="0.35">
      <c r="A11" s="52"/>
      <c r="B11" s="53" t="s">
        <v>76</v>
      </c>
      <c r="C11" s="49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15" cm="1">
        <f t="array" aca="1" ref="NK11" ca="1">SUMPRODUCT((OFFSET($B11,0,31*($B$5-1)+1,1,31)&lt;&gt;"")*(IF(OFFSET($B11,0,31*($B$5-1)+1,1,31)=$NY$12,0.5,IF(OFFSET($B11,0,31*($B$5-1)+1,1,31)=$NY$13,0.5,1))*(OFFSET($B$6,0,31*($B$5-1)+1,1,31))))</f>
        <v>0</v>
      </c>
      <c r="NL11" s="19" cm="1">
        <f t="array" aca="1" ref="NL11" ca="1">SUMPRODUCT((OFFSET($B11,0,1,1,372)&lt;&gt;"")*(IF(OFFSET($B11,0,1,1,372)=$NY$12,0.5,IF(OFFSET($B11,0,1,1,372)=$NY$13,0.5,1))*(OFFSET($B$5,0,1,1,372))))</f>
        <v>0</v>
      </c>
      <c r="NM11" s="38">
        <f t="shared" ca="1" si="6"/>
        <v>0</v>
      </c>
      <c r="NN11" s="38">
        <f t="shared" ca="1" si="6"/>
        <v>0</v>
      </c>
      <c r="NO11" s="38">
        <f t="shared" ca="1" si="6"/>
        <v>0</v>
      </c>
      <c r="NP11" s="38">
        <f t="shared" ca="1" si="6"/>
        <v>0</v>
      </c>
      <c r="NQ11" s="38">
        <f t="shared" ca="1" si="6"/>
        <v>0</v>
      </c>
      <c r="NR11" s="38">
        <f t="shared" ca="1" si="6"/>
        <v>0</v>
      </c>
      <c r="NS11" s="38">
        <f t="shared" ca="1" si="6"/>
        <v>0</v>
      </c>
      <c r="NX11" s="45" t="s">
        <v>50</v>
      </c>
      <c r="NY11" s="46" t="s">
        <v>51</v>
      </c>
    </row>
    <row r="12" spans="1:762" x14ac:dyDescent="0.35">
      <c r="A12" s="52"/>
      <c r="B12" s="30" t="s">
        <v>74</v>
      </c>
      <c r="C12" s="74" t="s">
        <v>51</v>
      </c>
      <c r="D12" s="2"/>
      <c r="E12" s="2"/>
      <c r="F12" s="2"/>
      <c r="G12" s="2"/>
      <c r="H12" s="2"/>
      <c r="I12" s="2"/>
      <c r="J12" s="37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15" cm="1">
        <f t="array" aca="1" ref="NK12" ca="1">SUMPRODUCT((OFFSET($B12,0,31*($B$5-1)+1,1,31)&lt;&gt;"")*(IF(OFFSET($B12,0,31*($B$5-1)+1,1,31)=$NY$12,0.5,IF(OFFSET($B12,0,31*($B$5-1)+1,1,31)=$NY$13,0.5,1))*(OFFSET($B$6,0,31*($B$5-1)+1,1,31))))</f>
        <v>1</v>
      </c>
      <c r="NL12" s="19" cm="1">
        <f t="array" aca="1" ref="NL12" ca="1">SUMPRODUCT((OFFSET($B12,0,1,1,372)&lt;&gt;"")*(IF(OFFSET($B12,0,1,1,372)=$NY$12,0.5,IF(OFFSET($B12,0,1,1,372)=$NY$13,0.5,1))*(OFFSET($B$5,0,1,1,372))))</f>
        <v>1</v>
      </c>
      <c r="NM12" s="38">
        <f t="shared" ca="1" si="6"/>
        <v>0</v>
      </c>
      <c r="NN12" s="38">
        <f t="shared" ca="1" si="6"/>
        <v>1</v>
      </c>
      <c r="NO12" s="38">
        <f t="shared" ca="1" si="6"/>
        <v>0</v>
      </c>
      <c r="NP12" s="38">
        <f t="shared" ca="1" si="6"/>
        <v>0</v>
      </c>
      <c r="NQ12" s="38">
        <f t="shared" ca="1" si="6"/>
        <v>0</v>
      </c>
      <c r="NR12" s="38">
        <f t="shared" ca="1" si="6"/>
        <v>0</v>
      </c>
      <c r="NS12" s="38">
        <f t="shared" ca="1" si="6"/>
        <v>0</v>
      </c>
      <c r="NX12" s="39" t="s">
        <v>52</v>
      </c>
      <c r="NY12" s="40" t="s">
        <v>35</v>
      </c>
    </row>
    <row r="13" spans="1:762" x14ac:dyDescent="0.35">
      <c r="A13" s="52"/>
      <c r="B13" s="30" t="s">
        <v>74</v>
      </c>
      <c r="C13" s="37"/>
      <c r="D13" s="37"/>
      <c r="E13" s="37"/>
      <c r="F13" s="37"/>
      <c r="G13" s="2"/>
      <c r="H13" s="2"/>
      <c r="I13" s="37"/>
      <c r="J13" s="37"/>
      <c r="K13" s="37"/>
      <c r="L13" s="37"/>
      <c r="M13" s="37"/>
      <c r="N13" s="2"/>
      <c r="O13" s="2"/>
      <c r="P13" s="37"/>
      <c r="Q13" s="37"/>
      <c r="R13" s="37"/>
      <c r="S13" s="37"/>
      <c r="T13" s="37"/>
      <c r="U13" s="2"/>
      <c r="V13" s="2"/>
      <c r="W13" s="37"/>
      <c r="X13" s="37"/>
      <c r="Y13" s="37"/>
      <c r="Z13" s="37"/>
      <c r="AA13" s="37"/>
      <c r="AB13" s="2"/>
      <c r="AC13" s="2"/>
      <c r="AD13" s="37"/>
      <c r="AE13" s="37"/>
      <c r="AF13" s="37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15" cm="1">
        <f t="array" aca="1" ref="NK13" ca="1">SUMPRODUCT((OFFSET($B13,0,31*($B$5-1)+1,1,31)&lt;&gt;"")*(IF(OFFSET($B13,0,31*($B$5-1)+1,1,31)=$NY$12,0.5,IF(OFFSET($B13,0,31*($B$5-1)+1,1,31)=$NY$13,0.5,1))*(OFFSET($B$6,0,31*($B$5-1)+1,1,31))))</f>
        <v>0</v>
      </c>
      <c r="NL13" s="19" cm="1">
        <f t="array" aca="1" ref="NL13" ca="1">SUMPRODUCT((OFFSET($B13,0,1,1,372)&lt;&gt;"")*(IF(OFFSET($B13,0,1,1,372)=$NY$12,0.5,IF(OFFSET($B13,0,1,1,372)=$NY$13,0.5,1))*(OFFSET($B$5,0,1,1,372))))</f>
        <v>0</v>
      </c>
      <c r="NM13" s="38">
        <f t="shared" ca="1" si="6"/>
        <v>0</v>
      </c>
      <c r="NN13" s="38">
        <f t="shared" ca="1" si="6"/>
        <v>0</v>
      </c>
      <c r="NO13" s="38">
        <f t="shared" ca="1" si="6"/>
        <v>0</v>
      </c>
      <c r="NP13" s="38">
        <f t="shared" ca="1" si="6"/>
        <v>0</v>
      </c>
      <c r="NQ13" s="38">
        <f t="shared" ca="1" si="6"/>
        <v>0</v>
      </c>
      <c r="NR13" s="38">
        <f t="shared" ca="1" si="6"/>
        <v>0</v>
      </c>
      <c r="NS13" s="38">
        <f t="shared" ca="1" si="6"/>
        <v>0</v>
      </c>
      <c r="NX13" s="39" t="s">
        <v>53</v>
      </c>
      <c r="NY13" s="40" t="s">
        <v>36</v>
      </c>
    </row>
    <row r="14" spans="1:762" x14ac:dyDescent="0.35">
      <c r="A14" s="52"/>
      <c r="B14" s="63" t="s">
        <v>64</v>
      </c>
      <c r="C14" s="37"/>
      <c r="D14" s="37"/>
      <c r="E14" s="37"/>
      <c r="F14" s="37"/>
      <c r="G14" s="2"/>
      <c r="H14" s="2"/>
      <c r="I14" s="37"/>
      <c r="J14" s="37"/>
      <c r="K14" s="37"/>
      <c r="L14" s="37"/>
      <c r="M14" s="37"/>
      <c r="N14" s="2"/>
      <c r="O14" s="2"/>
      <c r="P14" s="2"/>
      <c r="Q14" s="2"/>
      <c r="R14" s="37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15" cm="1">
        <f t="array" aca="1" ref="NK14" ca="1">SUMPRODUCT((OFFSET($B14,0,31*($B$5-1)+1,1,31)&lt;&gt;"")*(IF(OFFSET($B14,0,31*($B$5-1)+1,1,31)=$NY$12,0.5,IF(OFFSET($B14,0,31*($B$5-1)+1,1,31)=$NY$13,0.5,1))*(OFFSET($B$6,0,31*($B$5-1)+1,1,31))))</f>
        <v>0</v>
      </c>
      <c r="NL14" s="19" cm="1">
        <f t="array" aca="1" ref="NL14" ca="1">SUMPRODUCT((OFFSET($B14,0,1,1,372)&lt;&gt;"")*(IF(OFFSET($B14,0,1,1,372)=$NY$12,0.5,IF(OFFSET($B14,0,1,1,372)=$NY$13,0.5,1))*(OFFSET($B$5,0,1,1,372))))</f>
        <v>0</v>
      </c>
      <c r="NM14" s="38">
        <f t="shared" ca="1" si="6"/>
        <v>0</v>
      </c>
      <c r="NN14" s="38">
        <f t="shared" ca="1" si="6"/>
        <v>0</v>
      </c>
      <c r="NO14" s="38">
        <f t="shared" ca="1" si="6"/>
        <v>0</v>
      </c>
      <c r="NP14" s="38">
        <f t="shared" ca="1" si="6"/>
        <v>0</v>
      </c>
      <c r="NQ14" s="38">
        <f t="shared" ca="1" si="6"/>
        <v>0</v>
      </c>
      <c r="NR14" s="38">
        <f t="shared" ca="1" si="6"/>
        <v>0</v>
      </c>
      <c r="NS14" s="38">
        <f t="shared" ca="1" si="6"/>
        <v>0</v>
      </c>
      <c r="NX14" s="47" t="s">
        <v>54</v>
      </c>
      <c r="NY14" s="48" t="s">
        <v>58</v>
      </c>
    </row>
    <row r="15" spans="1:762" x14ac:dyDescent="0.35">
      <c r="A15" s="52"/>
      <c r="B15" s="53" t="s">
        <v>76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15" cm="1">
        <f t="array" aca="1" ref="NK15" ca="1">SUMPRODUCT((OFFSET($B15,0,31*($B$5-1)+1,1,31)&lt;&gt;"")*(IF(OFFSET($B15,0,31*($B$5-1)+1,1,31)=$NY$12,0.5,IF(OFFSET($B15,0,31*($B$5-1)+1,1,31)=$NY$13,0.5,1))*(OFFSET($B$6,0,31*($B$5-1)+1,1,31))))</f>
        <v>0</v>
      </c>
      <c r="NL15" s="19" cm="1">
        <f t="array" aca="1" ref="NL15" ca="1">SUMPRODUCT((OFFSET($B15,0,1,1,372)&lt;&gt;"")*(IF(OFFSET($B15,0,1,1,372)=$NY$12,0.5,IF(OFFSET($B15,0,1,1,372)=$NY$13,0.5,1))*(OFFSET($B$5,0,1,1,372))))</f>
        <v>0</v>
      </c>
      <c r="NM15" s="38">
        <f t="shared" ca="1" si="6"/>
        <v>0</v>
      </c>
      <c r="NN15" s="38">
        <f t="shared" ca="1" si="6"/>
        <v>0</v>
      </c>
      <c r="NO15" s="38">
        <f t="shared" ca="1" si="6"/>
        <v>0</v>
      </c>
      <c r="NP15" s="38">
        <f t="shared" ca="1" si="6"/>
        <v>0</v>
      </c>
      <c r="NQ15" s="38">
        <f t="shared" ca="1" si="6"/>
        <v>0</v>
      </c>
      <c r="NR15" s="38">
        <f t="shared" ca="1" si="6"/>
        <v>0</v>
      </c>
      <c r="NS15" s="38">
        <f t="shared" ca="1" si="6"/>
        <v>0</v>
      </c>
      <c r="NX15" s="41" t="s">
        <v>55</v>
      </c>
      <c r="NY15" s="42" t="s">
        <v>27</v>
      </c>
    </row>
    <row r="16" spans="1:762" x14ac:dyDescent="0.35">
      <c r="A16" s="52"/>
      <c r="B16" s="30" t="s">
        <v>74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15" cm="1">
        <f t="array" aca="1" ref="NK16" ca="1">SUMPRODUCT((OFFSET($B16,0,31*($B$5-1)+1,1,31)&lt;&gt;"")*(IF(OFFSET($B16,0,31*($B$5-1)+1,1,31)=$NY$12,0.5,IF(OFFSET($B16,0,31*($B$5-1)+1,1,31)=$NY$13,0.5,1))*(OFFSET($B$6,0,31*($B$5-1)+1,1,31))))</f>
        <v>0</v>
      </c>
      <c r="NL16" s="19" cm="1">
        <f t="array" aca="1" ref="NL16" ca="1">SUMPRODUCT((OFFSET($B16,0,1,1,372)&lt;&gt;"")*(IF(OFFSET($B16,0,1,1,372)=$NY$12,0.5,IF(OFFSET($B16,0,1,1,372)=$NY$13,0.5,1))*(OFFSET($B$5,0,1,1,372))))</f>
        <v>0</v>
      </c>
      <c r="NM16" s="38"/>
      <c r="NN16" s="38"/>
      <c r="NO16" s="38"/>
      <c r="NP16" s="38"/>
      <c r="NQ16" s="38"/>
      <c r="NR16" s="38"/>
      <c r="NS16" s="38"/>
      <c r="NX16" s="41" t="s">
        <v>56</v>
      </c>
      <c r="NY16" s="42" t="s">
        <v>37</v>
      </c>
    </row>
    <row r="17" spans="1:389" x14ac:dyDescent="0.35">
      <c r="A17" s="52"/>
      <c r="B17" s="62" t="s">
        <v>62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15" cm="1">
        <f t="array" aca="1" ref="NK17" ca="1">SUMPRODUCT((OFFSET($B17,0,31*($B$5-1)+1,1,31)&lt;&gt;"")*(IF(OFFSET($B17,0,31*($B$5-1)+1,1,31)=$NY$12,0.5,IF(OFFSET($B17,0,31*($B$5-1)+1,1,31)=$NY$13,0.5,1))*(OFFSET($B$6,0,31*($B$5-1)+1,1,31))))</f>
        <v>0</v>
      </c>
      <c r="NL17" s="19" cm="1">
        <f t="array" aca="1" ref="NL17" ca="1">SUMPRODUCT((OFFSET($B17,0,1,1,372)&lt;&gt;"")*(IF(OFFSET($B17,0,1,1,372)=$NY$12,0.5,IF(OFFSET($B17,0,1,1,372)=$NY$13,0.5,1))*(OFFSET($B$5,0,1,1,372))))</f>
        <v>0</v>
      </c>
      <c r="NM17" s="38"/>
      <c r="NN17" s="38"/>
      <c r="NO17" s="38"/>
      <c r="NP17" s="38"/>
      <c r="NQ17" s="38"/>
      <c r="NR17" s="38"/>
      <c r="NS17" s="38"/>
      <c r="NX17" s="66" t="s">
        <v>65</v>
      </c>
      <c r="NY17" s="67" t="s">
        <v>59</v>
      </c>
    </row>
    <row r="18" spans="1:389" x14ac:dyDescent="0.35">
      <c r="A18" s="52"/>
      <c r="B18" s="30" t="s">
        <v>74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15" cm="1">
        <f t="array" aca="1" ref="NK18" ca="1">SUMPRODUCT((OFFSET($B18,0,31*($B$5-1)+1,1,31)&lt;&gt;"")*(IF(OFFSET($B18,0,31*($B$5-1)+1,1,31)=$NY$12,0.5,IF(OFFSET($B18,0,31*($B$5-1)+1,1,31)=$NY$13,0.5,1))*(OFFSET($B$6,0,31*($B$5-1)+1,1,31))))</f>
        <v>0</v>
      </c>
      <c r="NL18" s="19" cm="1">
        <f t="array" aca="1" ref="NL18" ca="1">SUMPRODUCT((OFFSET($B18,0,1,1,372)&lt;&gt;"")*(IF(OFFSET($B18,0,1,1,372)=$NY$12,0.5,IF(OFFSET($B18,0,1,1,372)=$NY$13,0.5,1))*(OFFSET($B$5,0,1,1,372))))</f>
        <v>0</v>
      </c>
      <c r="NM18" s="38">
        <f t="shared" ca="1" si="6"/>
        <v>0</v>
      </c>
      <c r="NN18" s="38">
        <f t="shared" ca="1" si="6"/>
        <v>0</v>
      </c>
      <c r="NO18" s="38">
        <f t="shared" ca="1" si="6"/>
        <v>0</v>
      </c>
      <c r="NP18" s="38">
        <f t="shared" ca="1" si="6"/>
        <v>0</v>
      </c>
      <c r="NQ18" s="38">
        <f t="shared" ca="1" si="6"/>
        <v>0</v>
      </c>
      <c r="NR18" s="38">
        <f t="shared" ca="1" si="6"/>
        <v>0</v>
      </c>
      <c r="NS18" s="38">
        <f t="shared" ca="1" si="6"/>
        <v>0</v>
      </c>
      <c r="NX18" s="72" t="s">
        <v>67</v>
      </c>
      <c r="NY18" s="76" t="s">
        <v>61</v>
      </c>
    </row>
    <row r="19" spans="1:389" x14ac:dyDescent="0.35">
      <c r="A19" s="52"/>
      <c r="B19" s="30" t="s">
        <v>74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15" cm="1">
        <f t="array" aca="1" ref="NK19" ca="1">SUMPRODUCT((OFFSET($B19,0,31*($B$5-1)+1,1,31)&lt;&gt;"")*(IF(OFFSET($B19,0,31*($B$5-1)+1,1,31)=$NY$12,0.5,IF(OFFSET($B19,0,31*($B$5-1)+1,1,31)=$NY$13,0.5,1))*(OFFSET($B$6,0,31*($B$5-1)+1,1,31))))</f>
        <v>0</v>
      </c>
      <c r="NL19" s="19" cm="1">
        <f t="array" aca="1" ref="NL19" ca="1">SUMPRODUCT((OFFSET($B19,0,1,1,372)&lt;&gt;"")*(IF(OFFSET($B19,0,1,1,372)=$NY$12,0.5,IF(OFFSET($B19,0,1,1,372)=$NY$13,0.5,1))*(OFFSET($B$5,0,1,1,372))))</f>
        <v>0</v>
      </c>
      <c r="NM19" s="38">
        <f t="shared" ca="1" si="6"/>
        <v>0</v>
      </c>
      <c r="NN19" s="38">
        <f t="shared" ca="1" si="6"/>
        <v>0</v>
      </c>
      <c r="NO19" s="38">
        <f t="shared" ca="1" si="6"/>
        <v>0</v>
      </c>
      <c r="NP19" s="38">
        <f t="shared" ca="1" si="6"/>
        <v>0</v>
      </c>
      <c r="NQ19" s="38">
        <f t="shared" ca="1" si="6"/>
        <v>0</v>
      </c>
      <c r="NR19" s="38">
        <f t="shared" ca="1" si="6"/>
        <v>0</v>
      </c>
      <c r="NS19" s="38">
        <f t="shared" ca="1" si="6"/>
        <v>0</v>
      </c>
    </row>
    <row r="20" spans="1:389" x14ac:dyDescent="0.35">
      <c r="A20" s="52"/>
      <c r="B20" s="30" t="s">
        <v>74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15" cm="1">
        <f t="array" aca="1" ref="NK20" ca="1">SUMPRODUCT((OFFSET($B20,0,31*($B$5-1)+1,1,31)&lt;&gt;"")*(IF(OFFSET($B20,0,31*($B$5-1)+1,1,31)=$NY$12,0.5,IF(OFFSET($B20,0,31*($B$5-1)+1,1,31)=$NY$13,0.5,1))*(OFFSET($B$6,0,31*($B$5-1)+1,1,31))))</f>
        <v>0</v>
      </c>
      <c r="NL20" s="19" cm="1">
        <f t="array" aca="1" ref="NL20" ca="1">SUMPRODUCT((OFFSET($B20,0,1,1,372)&lt;&gt;"")*(IF(OFFSET($B20,0,1,1,372)=$NY$12,0.5,IF(OFFSET($B20,0,1,1,372)=$NY$13,0.5,1))*(OFFSET($B$5,0,1,1,372))))</f>
        <v>0</v>
      </c>
      <c r="NM20" s="38"/>
      <c r="NN20" s="38"/>
      <c r="NO20" s="38"/>
      <c r="NP20" s="38"/>
      <c r="NQ20" s="38"/>
      <c r="NR20" s="38"/>
      <c r="NS20" s="38"/>
    </row>
    <row r="21" spans="1:389" x14ac:dyDescent="0.35">
      <c r="A21" s="52"/>
      <c r="B21" s="30" t="s">
        <v>74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15" cm="1">
        <f t="array" aca="1" ref="NK21" ca="1">SUMPRODUCT((OFFSET($B21,0,31*($B$5-1)+1,1,31)&lt;&gt;"")*(IF(OFFSET($B21,0,31*($B$5-1)+1,1,31)=$NY$12,0.5,IF(OFFSET($B21,0,31*($B$5-1)+1,1,31)=$NY$13,0.5,1))*(OFFSET($B$6,0,31*($B$5-1)+1,1,31))))</f>
        <v>0</v>
      </c>
      <c r="NL21" s="19" cm="1">
        <f t="array" aca="1" ref="NL21" ca="1">SUMPRODUCT((OFFSET($B21,0,1,1,372)&lt;&gt;"")*(IF(OFFSET($B21,0,1,1,372)=$NY$12,0.5,IF(OFFSET($B21,0,1,1,372)=$NY$13,0.5,1))*(OFFSET($B$5,0,1,1,372))))</f>
        <v>0</v>
      </c>
      <c r="NM21" s="38"/>
      <c r="NN21" s="38"/>
      <c r="NO21" s="38"/>
      <c r="NP21" s="38"/>
      <c r="NQ21" s="38"/>
      <c r="NR21" s="38"/>
      <c r="NS21" s="38"/>
    </row>
    <row r="22" spans="1:389" x14ac:dyDescent="0.35">
      <c r="A22" s="52"/>
      <c r="B22" s="62" t="s">
        <v>63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15" cm="1">
        <f t="array" aca="1" ref="NK22" ca="1">SUMPRODUCT((OFFSET($B22,0,31*($B$5-1)+1,1,31)&lt;&gt;"")*(IF(OFFSET($B22,0,31*($B$5-1)+1,1,31)=$NY$12,0.5,IF(OFFSET($B22,0,31*($B$5-1)+1,1,31)=$NY$13,0.5,1))*(OFFSET($B$6,0,31*($B$5-1)+1,1,31))))</f>
        <v>0</v>
      </c>
      <c r="NL22" s="19" cm="1">
        <f t="array" aca="1" ref="NL22" ca="1">SUMPRODUCT((OFFSET($B22,0,1,1,372)&lt;&gt;"")*(IF(OFFSET($B22,0,1,1,372)=$NY$12,0.5,IF(OFFSET($B22,0,1,1,372)=$NY$13,0.5,1))*(OFFSET($B$5,0,1,1,372))))</f>
        <v>0</v>
      </c>
      <c r="NM22" s="38"/>
      <c r="NN22" s="38"/>
      <c r="NO22" s="38"/>
      <c r="NP22" s="38"/>
      <c r="NQ22" s="38"/>
      <c r="NR22" s="38"/>
      <c r="NS22" s="38"/>
    </row>
    <row r="23" spans="1:389" x14ac:dyDescent="0.35">
      <c r="A23" s="52"/>
      <c r="B23" s="30" t="s">
        <v>74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15" cm="1">
        <f t="array" aca="1" ref="NK23" ca="1">SUMPRODUCT((OFFSET($B23,0,31*($B$5-1)+1,1,31)&lt;&gt;"")*(IF(OFFSET($B23,0,31*($B$5-1)+1,1,31)=$NY$12,0.5,IF(OFFSET($B23,0,31*($B$5-1)+1,1,31)=$NY$13,0.5,1))*(OFFSET($B$6,0,31*($B$5-1)+1,1,31))))</f>
        <v>0</v>
      </c>
      <c r="NL23" s="19" cm="1">
        <f t="array" aca="1" ref="NL23" ca="1">SUMPRODUCT((OFFSET($B23,0,1,1,372)&lt;&gt;"")*(IF(OFFSET($B23,0,1,1,372)=$NY$12,0.5,IF(OFFSET($B23,0,1,1,372)=$NY$13,0.5,1))*(OFFSET($B$5,0,1,1,372))))</f>
        <v>0</v>
      </c>
      <c r="NM23" s="38">
        <f t="shared" ca="1" si="6"/>
        <v>0</v>
      </c>
      <c r="NN23" s="38">
        <f t="shared" ca="1" si="6"/>
        <v>0</v>
      </c>
      <c r="NO23" s="38">
        <f t="shared" ca="1" si="6"/>
        <v>0</v>
      </c>
      <c r="NP23" s="38">
        <f t="shared" ca="1" si="6"/>
        <v>0</v>
      </c>
      <c r="NQ23" s="38">
        <f t="shared" ca="1" si="6"/>
        <v>0</v>
      </c>
      <c r="NR23" s="38">
        <f t="shared" ca="1" si="6"/>
        <v>0</v>
      </c>
      <c r="NS23" s="38">
        <f t="shared" ca="1" si="6"/>
        <v>0</v>
      </c>
    </row>
    <row r="24" spans="1:389" x14ac:dyDescent="0.35">
      <c r="A24" s="52"/>
      <c r="B24" s="63" t="s">
        <v>64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15" cm="1">
        <f t="array" aca="1" ref="NK24" ca="1">SUMPRODUCT((OFFSET($B24,0,31*($B$5-1)+1,1,31)&lt;&gt;"")*(IF(OFFSET($B24,0,31*($B$5-1)+1,1,31)=$NY$12,0.5,IF(OFFSET($B24,0,31*($B$5-1)+1,1,31)=$NY$13,0.5,1))*(OFFSET($B$6,0,31*($B$5-1)+1,1,31))))</f>
        <v>0</v>
      </c>
      <c r="NL24" s="19" cm="1">
        <f t="array" aca="1" ref="NL24" ca="1">SUMPRODUCT((OFFSET($B24,0,1,1,372)&lt;&gt;"")*(IF(OFFSET($B24,0,1,1,372)=$NY$12,0.5,IF(OFFSET($B24,0,1,1,372)=$NY$13,0.5,1))*(OFFSET($B$5,0,1,1,372))))</f>
        <v>0</v>
      </c>
      <c r="NM24" s="38">
        <f t="shared" ca="1" si="6"/>
        <v>0</v>
      </c>
      <c r="NN24" s="38">
        <f t="shared" ca="1" si="6"/>
        <v>0</v>
      </c>
      <c r="NO24" s="38">
        <f t="shared" ca="1" si="6"/>
        <v>0</v>
      </c>
      <c r="NP24" s="38">
        <f t="shared" ca="1" si="6"/>
        <v>0</v>
      </c>
      <c r="NQ24" s="38">
        <f t="shared" ca="1" si="6"/>
        <v>0</v>
      </c>
      <c r="NR24" s="38">
        <f t="shared" ca="1" si="6"/>
        <v>0</v>
      </c>
      <c r="NS24" s="38">
        <f t="shared" ca="1" si="6"/>
        <v>0</v>
      </c>
    </row>
    <row r="25" spans="1:389" x14ac:dyDescent="0.35">
      <c r="A25" s="52"/>
      <c r="B25" s="53" t="s">
        <v>76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15" cm="1">
        <f t="array" aca="1" ref="NK25" ca="1">SUMPRODUCT((OFFSET($B25,0,31*($B$5-1)+1,1,31)&lt;&gt;"")*(IF(OFFSET($B25,0,31*($B$5-1)+1,1,31)=$NY$12,0.5,IF(OFFSET($B25,0,31*($B$5-1)+1,1,31)=$NY$13,0.5,1))*(OFFSET($B$6,0,31*($B$5-1)+1,1,31))))</f>
        <v>0</v>
      </c>
      <c r="NL25" s="19" cm="1">
        <f t="array" aca="1" ref="NL25" ca="1">SUMPRODUCT((OFFSET($B25,0,1,1,372)&lt;&gt;"")*(IF(OFFSET($B25,0,1,1,372)=$NY$12,0.5,IF(OFFSET($B25,0,1,1,372)=$NY$13,0.5,1))*(OFFSET($B$5,0,1,1,372))))</f>
        <v>0</v>
      </c>
      <c r="NM25" s="38">
        <f t="shared" ca="1" si="6"/>
        <v>0</v>
      </c>
      <c r="NN25" s="38">
        <f t="shared" ca="1" si="6"/>
        <v>0</v>
      </c>
      <c r="NO25" s="38">
        <f t="shared" ca="1" si="6"/>
        <v>0</v>
      </c>
      <c r="NP25" s="38">
        <f t="shared" ca="1" si="6"/>
        <v>0</v>
      </c>
      <c r="NQ25" s="38">
        <f t="shared" ca="1" si="6"/>
        <v>0</v>
      </c>
      <c r="NR25" s="38">
        <f t="shared" ca="1" si="6"/>
        <v>0</v>
      </c>
      <c r="NS25" s="38">
        <f t="shared" ca="1" si="6"/>
        <v>0</v>
      </c>
    </row>
    <row r="26" spans="1:389" x14ac:dyDescent="0.35">
      <c r="A26" s="52"/>
      <c r="B26" s="30" t="s">
        <v>74</v>
      </c>
      <c r="C26" s="37"/>
      <c r="D26" s="37"/>
      <c r="E26" s="37"/>
      <c r="F26" s="37"/>
      <c r="G26" s="2"/>
      <c r="H26" s="2"/>
      <c r="I26" s="37"/>
      <c r="J26" s="37"/>
      <c r="K26" s="37"/>
      <c r="L26" s="37"/>
      <c r="M26" s="37"/>
      <c r="N26" s="2"/>
      <c r="O26" s="2"/>
      <c r="P26" s="37"/>
      <c r="Q26" s="37"/>
      <c r="R26" s="37"/>
      <c r="S26" s="37"/>
      <c r="T26" s="37"/>
      <c r="U26" s="2"/>
      <c r="V26" s="2"/>
      <c r="W26" s="37"/>
      <c r="X26" s="37"/>
      <c r="Y26" s="37"/>
      <c r="Z26" s="37"/>
      <c r="AA26" s="37"/>
      <c r="AB26" s="2"/>
      <c r="AC26" s="2"/>
      <c r="AD26" s="37"/>
      <c r="AE26" s="37"/>
      <c r="AF26" s="37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15" cm="1">
        <f t="array" aca="1" ref="NK26" ca="1">SUMPRODUCT((OFFSET($B26,0,31*($B$5-1)+1,1,31)&lt;&gt;"")*(IF(OFFSET($B26,0,31*($B$5-1)+1,1,31)=$NY$12,0.5,IF(OFFSET($B26,0,31*($B$5-1)+1,1,31)=$NY$13,0.5,1))*(OFFSET($B$6,0,31*($B$5-1)+1,1,31))))</f>
        <v>0</v>
      </c>
      <c r="NL26" s="19" cm="1">
        <f t="array" aca="1" ref="NL26" ca="1">SUMPRODUCT((OFFSET($B26,0,1,1,372)&lt;&gt;"")*(IF(OFFSET($B26,0,1,1,372)=$NY$12,0.5,IF(OFFSET($B26,0,1,1,372)=$NY$13,0.5,1))*(OFFSET($B$5,0,1,1,372))))</f>
        <v>0</v>
      </c>
      <c r="NM26" s="38">
        <f t="shared" ca="1" si="6"/>
        <v>0</v>
      </c>
      <c r="NN26" s="38">
        <f t="shared" ca="1" si="6"/>
        <v>0</v>
      </c>
      <c r="NO26" s="38">
        <f t="shared" ca="1" si="6"/>
        <v>0</v>
      </c>
      <c r="NP26" s="38">
        <f t="shared" ca="1" si="6"/>
        <v>0</v>
      </c>
      <c r="NQ26" s="38">
        <f t="shared" ca="1" si="6"/>
        <v>0</v>
      </c>
      <c r="NR26" s="38">
        <f t="shared" ca="1" si="6"/>
        <v>0</v>
      </c>
      <c r="NS26" s="38">
        <f t="shared" ca="1" si="6"/>
        <v>0</v>
      </c>
    </row>
    <row r="27" spans="1:389" x14ac:dyDescent="0.35">
      <c r="A27" s="52"/>
      <c r="B27" s="30" t="s">
        <v>74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15" cm="1">
        <f t="array" aca="1" ref="NK27" ca="1">SUMPRODUCT((OFFSET($B27,0,31*($B$5-1)+1,1,31)&lt;&gt;"")*(IF(OFFSET($B27,0,31*($B$5-1)+1,1,31)=$NY$12,0.5,IF(OFFSET($B27,0,31*($B$5-1)+1,1,31)=$NY$13,0.5,1))*(OFFSET($B$6,0,31*($B$5-1)+1,1,31))))</f>
        <v>0</v>
      </c>
      <c r="NL27" s="19" cm="1">
        <f t="array" aca="1" ref="NL27" ca="1">SUMPRODUCT((OFFSET($B27,0,1,1,372)&lt;&gt;"")*(IF(OFFSET($B27,0,1,1,372)=$NY$12,0.5,IF(OFFSET($B27,0,1,1,372)=$NY$13,0.5,1))*(OFFSET($B$5,0,1,1,372))))</f>
        <v>0</v>
      </c>
      <c r="NM27" s="38">
        <f t="shared" ca="1" si="6"/>
        <v>0</v>
      </c>
      <c r="NN27" s="38">
        <f t="shared" ca="1" si="6"/>
        <v>0</v>
      </c>
      <c r="NO27" s="38">
        <f t="shared" ca="1" si="6"/>
        <v>0</v>
      </c>
      <c r="NP27" s="38">
        <f t="shared" ca="1" si="6"/>
        <v>0</v>
      </c>
      <c r="NQ27" s="38">
        <f t="shared" ca="1" si="6"/>
        <v>0</v>
      </c>
      <c r="NR27" s="38">
        <f t="shared" ca="1" si="6"/>
        <v>0</v>
      </c>
      <c r="NS27" s="38">
        <f t="shared" ca="1" si="6"/>
        <v>0</v>
      </c>
      <c r="NX27" s="18" t="s">
        <v>29</v>
      </c>
      <c r="NY27" s="18"/>
    </row>
    <row r="28" spans="1:389" x14ac:dyDescent="0.35">
      <c r="A28" s="52"/>
      <c r="B28" s="30" t="s">
        <v>74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15" cm="1">
        <f t="array" aca="1" ref="NK28" ca="1">SUMPRODUCT((OFFSET($B28,0,31*($B$5-1)+1,1,31)&lt;&gt;"")*(IF(OFFSET($B28,0,31*($B$5-1)+1,1,31)=$NY$12,0.5,IF(OFFSET($B28,0,31*($B$5-1)+1,1,31)=$NY$13,0.5,1))*(OFFSET($B$6,0,31*($B$5-1)+1,1,31))))</f>
        <v>0</v>
      </c>
      <c r="NL28" s="19" cm="1">
        <f t="array" aca="1" ref="NL28" ca="1">SUMPRODUCT((OFFSET($B28,0,1,1,372)&lt;&gt;"")*(IF(OFFSET($B28,0,1,1,372)=$NY$12,0.5,IF(OFFSET($B28,0,1,1,372)=$NY$13,0.5,1))*(OFFSET($B$5,0,1,1,372))))</f>
        <v>0</v>
      </c>
      <c r="NM28" s="38"/>
      <c r="NN28" s="38"/>
      <c r="NO28" s="38"/>
      <c r="NP28" s="38"/>
      <c r="NQ28" s="38"/>
      <c r="NR28" s="38"/>
      <c r="NS28" s="38"/>
      <c r="NX28" s="18"/>
      <c r="NY28" s="18"/>
    </row>
    <row r="29" spans="1:389" x14ac:dyDescent="0.35">
      <c r="A29" s="52"/>
      <c r="B29" s="30" t="s">
        <v>74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15" cm="1">
        <f t="array" aca="1" ref="NK29" ca="1">SUMPRODUCT((OFFSET($B29,0,31*($B$5-1)+1,1,31)&lt;&gt;"")*(IF(OFFSET($B29,0,31*($B$5-1)+1,1,31)=$NY$12,0.5,IF(OFFSET($B29,0,31*($B$5-1)+1,1,31)=$NY$13,0.5,1))*(OFFSET($B$6,0,31*($B$5-1)+1,1,31))))</f>
        <v>0</v>
      </c>
      <c r="NL29" s="19" cm="1">
        <f t="array" aca="1" ref="NL29" ca="1">SUMPRODUCT((OFFSET($B29,0,1,1,372)&lt;&gt;"")*(IF(OFFSET($B29,0,1,1,372)=$NY$12,0.5,IF(OFFSET($B29,0,1,1,372)=$NY$13,0.5,1))*(OFFSET($B$5,0,1,1,372))))</f>
        <v>0</v>
      </c>
      <c r="NM29" s="38"/>
      <c r="NN29" s="38"/>
      <c r="NO29" s="38"/>
      <c r="NP29" s="38"/>
      <c r="NQ29" s="38"/>
      <c r="NR29" s="38"/>
      <c r="NS29" s="38"/>
      <c r="NX29" s="18"/>
      <c r="NY29" s="18"/>
    </row>
    <row r="30" spans="1:389" x14ac:dyDescent="0.35">
      <c r="A30" s="52"/>
      <c r="B30" s="30" t="s">
        <v>74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15" cm="1">
        <f t="array" aca="1" ref="NK30" ca="1">SUMPRODUCT((OFFSET($B30,0,31*($B$5-1)+1,1,31)&lt;&gt;"")*(IF(OFFSET($B30,0,31*($B$5-1)+1,1,31)=$NY$12,0.5,IF(OFFSET($B30,0,31*($B$5-1)+1,1,31)=$NY$13,0.5,1))*(OFFSET($B$6,0,31*($B$5-1)+1,1,31))))</f>
        <v>0</v>
      </c>
      <c r="NL30" s="19" cm="1">
        <f t="array" aca="1" ref="NL30" ca="1">SUMPRODUCT((OFFSET($B30,0,1,1,372)&lt;&gt;"")*(IF(OFFSET($B30,0,1,1,372)=$NY$12,0.5,IF(OFFSET($B30,0,1,1,372)=$NY$13,0.5,1))*(OFFSET($B$5,0,1,1,372))))</f>
        <v>0</v>
      </c>
      <c r="NM30" s="38"/>
      <c r="NN30" s="38"/>
      <c r="NO30" s="38"/>
      <c r="NP30" s="38"/>
      <c r="NQ30" s="38"/>
      <c r="NR30" s="38"/>
      <c r="NS30" s="38"/>
      <c r="NX30" s="18"/>
      <c r="NY30" s="18"/>
    </row>
    <row r="31" spans="1:389" x14ac:dyDescent="0.35">
      <c r="A31" s="52"/>
      <c r="B31" s="30" t="s">
        <v>74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15" cm="1">
        <f t="array" aca="1" ref="NK31" ca="1">SUMPRODUCT((OFFSET($B31,0,31*($B$5-1)+1,1,31)&lt;&gt;"")*(IF(OFFSET($B31,0,31*($B$5-1)+1,1,31)=$NY$12,0.5,IF(OFFSET($B31,0,31*($B$5-1)+1,1,31)=$NY$13,0.5,1))*(OFFSET($B$6,0,31*($B$5-1)+1,1,31))))</f>
        <v>0</v>
      </c>
      <c r="NL31" s="19" cm="1">
        <f t="array" aca="1" ref="NL31" ca="1">SUMPRODUCT((OFFSET($B31,0,1,1,372)&lt;&gt;"")*(IF(OFFSET($B31,0,1,1,372)=$NY$12,0.5,IF(OFFSET($B31,0,1,1,372)=$NY$13,0.5,1))*(OFFSET($B$5,0,1,1,372))))</f>
        <v>0</v>
      </c>
      <c r="NM31" s="38"/>
      <c r="NN31" s="38"/>
      <c r="NO31" s="38"/>
      <c r="NP31" s="38"/>
      <c r="NQ31" s="38"/>
      <c r="NR31" s="38"/>
      <c r="NS31" s="38"/>
      <c r="NX31" s="18"/>
      <c r="NY31" s="18"/>
    </row>
    <row r="32" spans="1:389" x14ac:dyDescent="0.35">
      <c r="A32" s="52"/>
      <c r="B32" s="30" t="s">
        <v>74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15" cm="1">
        <f t="array" aca="1" ref="NK32" ca="1">SUMPRODUCT((OFFSET($B32,0,31*($B$5-1)+1,1,31)&lt;&gt;"")*(IF(OFFSET($B32,0,31*($B$5-1)+1,1,31)=$NY$12,0.5,IF(OFFSET($B32,0,31*($B$5-1)+1,1,31)=$NY$13,0.5,1))*(OFFSET($B$6,0,31*($B$5-1)+1,1,31))))</f>
        <v>0</v>
      </c>
      <c r="NL32" s="19" cm="1">
        <f t="array" aca="1" ref="NL32" ca="1">SUMPRODUCT((OFFSET($B32,0,1,1,372)&lt;&gt;"")*(IF(OFFSET($B32,0,1,1,372)=$NY$12,0.5,IF(OFFSET($B32,0,1,1,372)=$NY$13,0.5,1))*(OFFSET($B$5,0,1,1,372))))</f>
        <v>0</v>
      </c>
      <c r="NM32" s="38"/>
      <c r="NN32" s="38"/>
      <c r="NO32" s="38"/>
      <c r="NP32" s="38"/>
      <c r="NQ32" s="38"/>
      <c r="NR32" s="38"/>
      <c r="NS32" s="38"/>
      <c r="NX32" s="18"/>
      <c r="NY32" s="18"/>
    </row>
    <row r="33" spans="1:389" x14ac:dyDescent="0.35">
      <c r="A33" s="52"/>
      <c r="B33" s="30" t="s">
        <v>74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15" cm="1">
        <f t="array" aca="1" ref="NK33" ca="1">SUMPRODUCT((OFFSET($B33,0,31*($B$5-1)+1,1,31)&lt;&gt;"")*(IF(OFFSET($B33,0,31*($B$5-1)+1,1,31)=$NY$12,0.5,IF(OFFSET($B33,0,31*($B$5-1)+1,1,31)=$NY$13,0.5,1))*(OFFSET($B$6,0,31*($B$5-1)+1,1,31))))</f>
        <v>0</v>
      </c>
      <c r="NL33" s="19" cm="1">
        <f t="array" aca="1" ref="NL33" ca="1">SUMPRODUCT((OFFSET($B33,0,1,1,372)&lt;&gt;"")*(IF(OFFSET($B33,0,1,1,372)=$NY$12,0.5,IF(OFFSET($B33,0,1,1,372)=$NY$13,0.5,1))*(OFFSET($B$5,0,1,1,372))))</f>
        <v>0</v>
      </c>
      <c r="NM33" s="38">
        <f t="shared" ca="1" si="6"/>
        <v>0</v>
      </c>
      <c r="NN33" s="38">
        <f t="shared" ca="1" si="6"/>
        <v>0</v>
      </c>
      <c r="NO33" s="38">
        <f t="shared" ca="1" si="6"/>
        <v>0</v>
      </c>
      <c r="NP33" s="38">
        <f t="shared" ca="1" si="6"/>
        <v>0</v>
      </c>
      <c r="NQ33" s="38">
        <f t="shared" ca="1" si="6"/>
        <v>0</v>
      </c>
      <c r="NR33" s="38">
        <f t="shared" ca="1" si="6"/>
        <v>0</v>
      </c>
      <c r="NS33" s="38">
        <f t="shared" ca="1" si="6"/>
        <v>0</v>
      </c>
      <c r="NX33" s="17" t="s">
        <v>11</v>
      </c>
      <c r="NY33" s="17" t="s">
        <v>31</v>
      </c>
    </row>
    <row r="34" spans="1:389" x14ac:dyDescent="0.35">
      <c r="A34" s="52"/>
      <c r="B34" s="30" t="s">
        <v>74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15" cm="1">
        <f t="array" aca="1" ref="NK34" ca="1">SUMPRODUCT((OFFSET($B34,0,31*($B$5-1)+1,1,31)&lt;&gt;"")*(IF(OFFSET($B34,0,31*($B$5-1)+1,1,31)=$NY$12,0.5,IF(OFFSET($B34,0,31*($B$5-1)+1,1,31)=$NY$13,0.5,1))*(OFFSET($B$6,0,31*($B$5-1)+1,1,31))))</f>
        <v>0</v>
      </c>
      <c r="NL34" s="19" cm="1">
        <f t="array" aca="1" ref="NL34" ca="1">SUMPRODUCT((OFFSET($B34,0,1,1,372)&lt;&gt;"")*(IF(OFFSET($B34,0,1,1,372)=$NY$12,0.5,IF(OFFSET($B34,0,1,1,372)=$NY$13,0.5,1))*(OFFSET($B$5,0,1,1,372))))</f>
        <v>0</v>
      </c>
      <c r="NM34" s="38">
        <f t="shared" ca="1" si="6"/>
        <v>0</v>
      </c>
      <c r="NN34" s="38">
        <f t="shared" ca="1" si="6"/>
        <v>0</v>
      </c>
      <c r="NO34" s="38">
        <f t="shared" ca="1" si="6"/>
        <v>0</v>
      </c>
      <c r="NP34" s="38">
        <f t="shared" ca="1" si="6"/>
        <v>0</v>
      </c>
      <c r="NQ34" s="38">
        <f t="shared" ca="1" si="6"/>
        <v>0</v>
      </c>
      <c r="NR34" s="38">
        <f t="shared" ca="1" si="6"/>
        <v>0</v>
      </c>
      <c r="NS34" s="38">
        <f t="shared" ca="1" si="6"/>
        <v>0</v>
      </c>
      <c r="NX34" s="17" t="s">
        <v>12</v>
      </c>
      <c r="NY34" s="17" t="s">
        <v>31</v>
      </c>
    </row>
    <row r="35" spans="1:389" x14ac:dyDescent="0.35">
      <c r="A35" s="52"/>
      <c r="B35" s="30" t="s">
        <v>74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15" cm="1">
        <f t="array" aca="1" ref="NK35" ca="1">SUMPRODUCT((OFFSET($B35,0,31*($B$5-1)+1,1,31)&lt;&gt;"")*(IF(OFFSET($B35,0,31*($B$5-1)+1,1,31)=$NY$12,0.5,IF(OFFSET($B35,0,31*($B$5-1)+1,1,31)=$NY$13,0.5,1))*(OFFSET($B$6,0,31*($B$5-1)+1,1,31))))</f>
        <v>0</v>
      </c>
      <c r="NL35" s="19" cm="1">
        <f t="array" aca="1" ref="NL35" ca="1">SUMPRODUCT((OFFSET($B35,0,1,1,372)&lt;&gt;"")*(IF(OFFSET($B35,0,1,1,372)=$NY$12,0.5,IF(OFFSET($B35,0,1,1,372)=$NY$13,0.5,1))*(OFFSET($B$5,0,1,1,372))))</f>
        <v>0</v>
      </c>
      <c r="NM35" s="38"/>
      <c r="NN35" s="38"/>
      <c r="NO35" s="38"/>
      <c r="NP35" s="38"/>
      <c r="NQ35" s="38"/>
      <c r="NR35" s="38"/>
      <c r="NS35" s="38"/>
      <c r="NX35" s="17"/>
      <c r="NY35" s="17"/>
    </row>
    <row r="36" spans="1:389" x14ac:dyDescent="0.35">
      <c r="A36" s="52"/>
      <c r="B36" s="30" t="s">
        <v>74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15" cm="1">
        <f t="array" aca="1" ref="NK36" ca="1">SUMPRODUCT((OFFSET($B36,0,31*($B$5-1)+1,1,31)&lt;&gt;"")*(IF(OFFSET($B36,0,31*($B$5-1)+1,1,31)=$NY$12,0.5,IF(OFFSET($B36,0,31*($B$5-1)+1,1,31)=$NY$13,0.5,1))*(OFFSET($B$6,0,31*($B$5-1)+1,1,31))))</f>
        <v>0</v>
      </c>
      <c r="NL36" s="19" cm="1">
        <f t="array" aca="1" ref="NL36" ca="1">SUMPRODUCT((OFFSET($B36,0,1,1,372)&lt;&gt;"")*(IF(OFFSET($B36,0,1,1,372)=$NY$12,0.5,IF(OFFSET($B36,0,1,1,372)=$NY$13,0.5,1))*(OFFSET($B$5,0,1,1,372))))</f>
        <v>0</v>
      </c>
      <c r="NM36" s="38"/>
      <c r="NN36" s="38"/>
      <c r="NO36" s="38"/>
      <c r="NP36" s="38"/>
      <c r="NQ36" s="38"/>
      <c r="NR36" s="38"/>
      <c r="NS36" s="38"/>
      <c r="NX36" s="17"/>
      <c r="NY36" s="17"/>
    </row>
    <row r="37" spans="1:389" x14ac:dyDescent="0.35">
      <c r="A37" s="52"/>
      <c r="B37" s="30" t="s">
        <v>74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15" cm="1">
        <f t="array" aca="1" ref="NK37" ca="1">SUMPRODUCT((OFFSET($B37,0,31*($B$5-1)+1,1,31)&lt;&gt;"")*(IF(OFFSET($B37,0,31*($B$5-1)+1,1,31)=$NY$12,0.5,IF(OFFSET($B37,0,31*($B$5-1)+1,1,31)=$NY$13,0.5,1))*(OFFSET($B$6,0,31*($B$5-1)+1,1,31))))</f>
        <v>0</v>
      </c>
      <c r="NL37" s="19" cm="1">
        <f t="array" aca="1" ref="NL37" ca="1">SUMPRODUCT((OFFSET($B37,0,1,1,372)&lt;&gt;"")*(IF(OFFSET($B37,0,1,1,372)=$NY$12,0.5,IF(OFFSET($B37,0,1,1,372)=$NY$13,0.5,1))*(OFFSET($B$5,0,1,1,372))))</f>
        <v>0</v>
      </c>
      <c r="NM37" s="38">
        <f t="shared" ca="1" si="6"/>
        <v>0</v>
      </c>
      <c r="NN37" s="38">
        <f t="shared" ca="1" si="6"/>
        <v>0</v>
      </c>
      <c r="NO37" s="38">
        <f t="shared" ca="1" si="6"/>
        <v>0</v>
      </c>
      <c r="NP37" s="38">
        <f t="shared" ca="1" si="6"/>
        <v>0</v>
      </c>
      <c r="NQ37" s="38">
        <f t="shared" ca="1" si="6"/>
        <v>0</v>
      </c>
      <c r="NR37" s="38">
        <f t="shared" ca="1" si="6"/>
        <v>0</v>
      </c>
      <c r="NS37" s="38">
        <f t="shared" ca="1" si="6"/>
        <v>0</v>
      </c>
      <c r="NX37" s="17" t="s">
        <v>13</v>
      </c>
      <c r="NY37" s="17" t="s">
        <v>31</v>
      </c>
    </row>
    <row r="38" spans="1:389" x14ac:dyDescent="0.35">
      <c r="A38" s="52"/>
      <c r="B38" s="30" t="s">
        <v>74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15" cm="1">
        <f t="array" aca="1" ref="NK38" ca="1">SUMPRODUCT((OFFSET($B38,0,31*($B$5-1)+1,1,31)&lt;&gt;"")*(IF(OFFSET($B38,0,31*($B$5-1)+1,1,31)=$NY$12,0.5,IF(OFFSET($B38,0,31*($B$5-1)+1,1,31)=$NY$13,0.5,1))*(OFFSET($B$6,0,31*($B$5-1)+1,1,31))))</f>
        <v>0</v>
      </c>
      <c r="NL38" s="19" cm="1">
        <f t="array" aca="1" ref="NL38" ca="1">SUMPRODUCT((OFFSET($B38,0,1,1,372)&lt;&gt;"")*(IF(OFFSET($B38,0,1,1,372)=$NY$12,0.5,IF(OFFSET($B38,0,1,1,372)=$NY$13,0.5,1))*(OFFSET($B$5,0,1,1,372))))</f>
        <v>0</v>
      </c>
      <c r="NM38" s="38">
        <f t="shared" ref="NM38:NS71" ca="1" si="7">SUMPRODUCT((OFFSET($B38,0,1,1,372)&lt;&gt;"")*(OFFSET($B$5,0,1,1,372))*((OFFSET($B38,0,1,1,372))=NM$7))</f>
        <v>0</v>
      </c>
      <c r="NN38" s="38">
        <f t="shared" ca="1" si="7"/>
        <v>0</v>
      </c>
      <c r="NO38" s="38">
        <f t="shared" ca="1" si="7"/>
        <v>0</v>
      </c>
      <c r="NP38" s="38">
        <f t="shared" ca="1" si="7"/>
        <v>0</v>
      </c>
      <c r="NQ38" s="38">
        <f t="shared" ca="1" si="7"/>
        <v>0</v>
      </c>
      <c r="NR38" s="38">
        <f t="shared" ca="1" si="7"/>
        <v>0</v>
      </c>
      <c r="NS38" s="38">
        <f t="shared" ca="1" si="7"/>
        <v>0</v>
      </c>
      <c r="NX38" s="17" t="s">
        <v>14</v>
      </c>
      <c r="NY38" s="17" t="s">
        <v>31</v>
      </c>
    </row>
    <row r="39" spans="1:389" x14ac:dyDescent="0.35">
      <c r="A39" s="52"/>
      <c r="B39" s="63" t="s">
        <v>75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15" cm="1">
        <f t="array" aca="1" ref="NK39" ca="1">SUMPRODUCT((OFFSET($B39,0,31*($B$5-1)+1,1,31)&lt;&gt;"")*(IF(OFFSET($B39,0,31*($B$5-1)+1,1,31)=$NY$12,0.5,IF(OFFSET($B39,0,31*($B$5-1)+1,1,31)=$NY$13,0.5,1))*(OFFSET($B$6,0,31*($B$5-1)+1,1,31))))</f>
        <v>0</v>
      </c>
      <c r="NL39" s="19" cm="1">
        <f t="array" aca="1" ref="NL39" ca="1">SUMPRODUCT((OFFSET($B39,0,1,1,372)&lt;&gt;"")*(IF(OFFSET($B39,0,1,1,372)=$NY$12,0.5,IF(OFFSET($B39,0,1,1,372)=$NY$13,0.5,1))*(OFFSET($B$5,0,1,1,372))))</f>
        <v>0</v>
      </c>
      <c r="NM39" s="38">
        <f t="shared" ca="1" si="7"/>
        <v>0</v>
      </c>
      <c r="NN39" s="38">
        <f t="shared" ca="1" si="7"/>
        <v>0</v>
      </c>
      <c r="NO39" s="38">
        <f t="shared" ca="1" si="7"/>
        <v>0</v>
      </c>
      <c r="NP39" s="38">
        <f t="shared" ca="1" si="7"/>
        <v>0</v>
      </c>
      <c r="NQ39" s="38">
        <f t="shared" ca="1" si="7"/>
        <v>0</v>
      </c>
      <c r="NR39" s="38">
        <f t="shared" ca="1" si="7"/>
        <v>0</v>
      </c>
      <c r="NS39" s="38">
        <f t="shared" ca="1" si="7"/>
        <v>0</v>
      </c>
      <c r="NX39" s="17" t="s">
        <v>15</v>
      </c>
      <c r="NY39" s="17" t="s">
        <v>31</v>
      </c>
    </row>
    <row r="40" spans="1:389" x14ac:dyDescent="0.35">
      <c r="A40" s="52"/>
      <c r="B40" s="53" t="s">
        <v>76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15" cm="1">
        <f t="array" aca="1" ref="NK40" ca="1">SUMPRODUCT((OFFSET($B40,0,31*($B$5-1)+1,1,31)&lt;&gt;"")*(IF(OFFSET($B40,0,31*($B$5-1)+1,1,31)=$NY$12,0.5,IF(OFFSET($B40,0,31*($B$5-1)+1,1,31)=$NY$13,0.5,1))*(OFFSET($B$6,0,31*($B$5-1)+1,1,31))))</f>
        <v>0</v>
      </c>
      <c r="NL40" s="19" cm="1">
        <f t="array" aca="1" ref="NL40" ca="1">SUMPRODUCT((OFFSET($B40,0,1,1,372)&lt;&gt;"")*(IF(OFFSET($B40,0,1,1,372)=$NY$12,0.5,IF(OFFSET($B40,0,1,1,372)=$NY$13,0.5,1))*(OFFSET($B$5,0,1,1,372))))</f>
        <v>0</v>
      </c>
      <c r="NM40" s="38">
        <f t="shared" ca="1" si="7"/>
        <v>0</v>
      </c>
      <c r="NN40" s="38">
        <f t="shared" ca="1" si="7"/>
        <v>0</v>
      </c>
      <c r="NO40" s="38">
        <f t="shared" ca="1" si="7"/>
        <v>0</v>
      </c>
      <c r="NP40" s="38">
        <f t="shared" ca="1" si="7"/>
        <v>0</v>
      </c>
      <c r="NQ40" s="38">
        <f t="shared" ca="1" si="7"/>
        <v>0</v>
      </c>
      <c r="NR40" s="38">
        <f t="shared" ca="1" si="7"/>
        <v>0</v>
      </c>
      <c r="NS40" s="38">
        <f t="shared" ca="1" si="7"/>
        <v>0</v>
      </c>
      <c r="NX40" s="17" t="s">
        <v>16</v>
      </c>
      <c r="NY40" s="17" t="s">
        <v>30</v>
      </c>
    </row>
    <row r="41" spans="1:389" x14ac:dyDescent="0.35">
      <c r="A41" s="52"/>
      <c r="B41" s="62" t="s">
        <v>62</v>
      </c>
      <c r="C41" s="37"/>
      <c r="D41" s="37"/>
      <c r="E41" s="37"/>
      <c r="F41" s="37"/>
      <c r="G41" s="2"/>
      <c r="H41" s="2"/>
      <c r="I41" s="37"/>
      <c r="J41" s="37"/>
      <c r="K41" s="37"/>
      <c r="L41" s="37"/>
      <c r="M41" s="37"/>
      <c r="N41" s="2"/>
      <c r="O41" s="2"/>
      <c r="P41" s="37"/>
      <c r="Q41" s="37"/>
      <c r="R41" s="37"/>
      <c r="S41" s="37"/>
      <c r="T41" s="37"/>
      <c r="U41" s="2"/>
      <c r="V41" s="2"/>
      <c r="W41" s="37"/>
      <c r="X41" s="37"/>
      <c r="Y41" s="37"/>
      <c r="Z41" s="37"/>
      <c r="AA41" s="37"/>
      <c r="AB41" s="2"/>
      <c r="AC41" s="2"/>
      <c r="AD41" s="37"/>
      <c r="AE41" s="37"/>
      <c r="AF41" s="37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15" cm="1">
        <f t="array" aca="1" ref="NK41" ca="1">SUMPRODUCT((OFFSET($B41,0,31*($B$5-1)+1,1,31)&lt;&gt;"")*(IF(OFFSET($B41,0,31*($B$5-1)+1,1,31)=$NY$12,0.5,IF(OFFSET($B41,0,31*($B$5-1)+1,1,31)=$NY$13,0.5,1))*(OFFSET($B$6,0,31*($B$5-1)+1,1,31))))</f>
        <v>0</v>
      </c>
      <c r="NL41" s="19" cm="1">
        <f t="array" aca="1" ref="NL41" ca="1">SUMPRODUCT((OFFSET($B41,0,1,1,372)&lt;&gt;"")*(IF(OFFSET($B41,0,1,1,372)=$NY$12,0.5,IF(OFFSET($B41,0,1,1,372)=$NY$13,0.5,1))*(OFFSET($B$5,0,1,1,372))))</f>
        <v>0</v>
      </c>
      <c r="NM41" s="38"/>
      <c r="NN41" s="38"/>
      <c r="NO41" s="38"/>
      <c r="NP41" s="38"/>
      <c r="NQ41" s="38"/>
      <c r="NR41" s="38"/>
      <c r="NS41" s="38"/>
      <c r="NX41" s="17"/>
      <c r="NY41" s="17"/>
    </row>
    <row r="42" spans="1:389" x14ac:dyDescent="0.35">
      <c r="A42" s="52"/>
      <c r="B42" s="30" t="s">
        <v>74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15" cm="1">
        <f t="array" aca="1" ref="NK42" ca="1">SUMPRODUCT((OFFSET($B42,0,31*($B$5-1)+1,1,31)&lt;&gt;"")*(IF(OFFSET($B42,0,31*($B$5-1)+1,1,31)=$NY$12,0.5,IF(OFFSET($B42,0,31*($B$5-1)+1,1,31)=$NY$13,0.5,1))*(OFFSET($B$6,0,31*($B$5-1)+1,1,31))))</f>
        <v>0</v>
      </c>
      <c r="NL42" s="19" cm="1">
        <f t="array" aca="1" ref="NL42" ca="1">SUMPRODUCT((OFFSET($B42,0,1,1,372)&lt;&gt;"")*(IF(OFFSET($B42,0,1,1,372)=$NY$12,0.5,IF(OFFSET($B42,0,1,1,372)=$NY$13,0.5,1))*(OFFSET($B$5,0,1,1,372))))</f>
        <v>0</v>
      </c>
      <c r="NM42" s="38"/>
      <c r="NN42" s="38"/>
      <c r="NO42" s="38"/>
      <c r="NP42" s="38"/>
      <c r="NQ42" s="38"/>
      <c r="NR42" s="38"/>
      <c r="NS42" s="38"/>
      <c r="NX42" s="17"/>
      <c r="NY42" s="17"/>
    </row>
    <row r="43" spans="1:389" x14ac:dyDescent="0.35">
      <c r="A43" s="52"/>
      <c r="B43" s="63" t="s">
        <v>75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15" cm="1">
        <f t="array" aca="1" ref="NK43" ca="1">SUMPRODUCT((OFFSET($B43,0,31*($B$5-1)+1,1,31)&lt;&gt;"")*(IF(OFFSET($B43,0,31*($B$5-1)+1,1,31)=$NY$12,0.5,IF(OFFSET($B43,0,31*($B$5-1)+1,1,31)=$NY$13,0.5,1))*(OFFSET($B$6,0,31*($B$5-1)+1,1,31))))</f>
        <v>0</v>
      </c>
      <c r="NL43" s="19" cm="1">
        <f t="array" aca="1" ref="NL43" ca="1">SUMPRODUCT((OFFSET($B43,0,1,1,372)&lt;&gt;"")*(IF(OFFSET($B43,0,1,1,372)=$NY$12,0.5,IF(OFFSET($B43,0,1,1,372)=$NY$13,0.5,1))*(OFFSET($B$5,0,1,1,372))))</f>
        <v>0</v>
      </c>
      <c r="NM43" s="38"/>
      <c r="NN43" s="38"/>
      <c r="NO43" s="38"/>
      <c r="NP43" s="38"/>
      <c r="NQ43" s="38"/>
      <c r="NR43" s="38"/>
      <c r="NS43" s="38"/>
      <c r="NX43" s="17"/>
      <c r="NY43" s="17"/>
    </row>
    <row r="44" spans="1:389" x14ac:dyDescent="0.35">
      <c r="A44" s="52"/>
      <c r="B44" s="53" t="s">
        <v>77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15" cm="1">
        <f t="array" aca="1" ref="NK44" ca="1">SUMPRODUCT((OFFSET($B44,0,31*($B$5-1)+1,1,31)&lt;&gt;"")*(IF(OFFSET($B44,0,31*($B$5-1)+1,1,31)=$NY$12,0.5,IF(OFFSET($B44,0,31*($B$5-1)+1,1,31)=$NY$13,0.5,1))*(OFFSET($B$6,0,31*($B$5-1)+1,1,31))))</f>
        <v>0</v>
      </c>
      <c r="NL44" s="19" cm="1">
        <f t="array" aca="1" ref="NL44" ca="1">SUMPRODUCT((OFFSET($B44,0,1,1,372)&lt;&gt;"")*(IF(OFFSET($B44,0,1,1,372)=$NY$12,0.5,IF(OFFSET($B44,0,1,1,372)=$NY$13,0.5,1))*(OFFSET($B$5,0,1,1,372))))</f>
        <v>0</v>
      </c>
      <c r="NM44" s="38"/>
      <c r="NN44" s="38"/>
      <c r="NO44" s="38"/>
      <c r="NP44" s="38"/>
      <c r="NQ44" s="38"/>
      <c r="NR44" s="38"/>
      <c r="NS44" s="38"/>
      <c r="NX44" s="17"/>
      <c r="NY44" s="17"/>
    </row>
    <row r="45" spans="1:389" x14ac:dyDescent="0.35">
      <c r="A45" s="52"/>
      <c r="B45" s="75" t="s">
        <v>66</v>
      </c>
      <c r="C45" s="37"/>
      <c r="D45" s="37"/>
      <c r="E45" s="37"/>
      <c r="F45" s="37"/>
      <c r="G45" s="2"/>
      <c r="H45" s="2"/>
      <c r="I45" s="37"/>
      <c r="J45" s="37"/>
      <c r="K45" s="37"/>
      <c r="L45" s="37"/>
      <c r="M45" s="37"/>
      <c r="N45" s="2"/>
      <c r="O45" s="2"/>
      <c r="P45" s="37"/>
      <c r="Q45" s="37"/>
      <c r="R45" s="37"/>
      <c r="S45" s="37"/>
      <c r="T45" s="37"/>
      <c r="U45" s="2"/>
      <c r="V45" s="2"/>
      <c r="W45" s="37"/>
      <c r="X45" s="37"/>
      <c r="Y45" s="37"/>
      <c r="Z45" s="37"/>
      <c r="AA45" s="37"/>
      <c r="AB45" s="2"/>
      <c r="AC45" s="2"/>
      <c r="AD45" s="37"/>
      <c r="AE45" s="37"/>
      <c r="AF45" s="37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15" cm="1">
        <f t="array" aca="1" ref="NK45" ca="1">SUMPRODUCT((OFFSET($B45,0,31*($B$5-1)+1,1,31)&lt;&gt;"")*(IF(OFFSET($B45,0,31*($B$5-1)+1,1,31)=$NY$12,0.5,IF(OFFSET($B45,0,31*($B$5-1)+1,1,31)=$NY$13,0.5,1))*(OFFSET($B$6,0,31*($B$5-1)+1,1,31))))</f>
        <v>0</v>
      </c>
      <c r="NL45" s="19" cm="1">
        <f t="array" aca="1" ref="NL45" ca="1">SUMPRODUCT((OFFSET($B45,0,1,1,372)&lt;&gt;"")*(IF(OFFSET($B45,0,1,1,372)=$NY$12,0.5,IF(OFFSET($B45,0,1,1,372)=$NY$13,0.5,1))*(OFFSET($B$5,0,1,1,372))))</f>
        <v>0</v>
      </c>
      <c r="NM45" s="38">
        <f t="shared" ca="1" si="7"/>
        <v>0</v>
      </c>
      <c r="NN45" s="38">
        <f t="shared" ca="1" si="7"/>
        <v>0</v>
      </c>
      <c r="NO45" s="38">
        <f t="shared" ca="1" si="7"/>
        <v>0</v>
      </c>
      <c r="NP45" s="38">
        <f t="shared" ca="1" si="7"/>
        <v>0</v>
      </c>
      <c r="NQ45" s="38">
        <f t="shared" ca="1" si="7"/>
        <v>0</v>
      </c>
      <c r="NR45" s="38">
        <f t="shared" ca="1" si="7"/>
        <v>0</v>
      </c>
      <c r="NS45" s="38">
        <f t="shared" ca="1" si="7"/>
        <v>0</v>
      </c>
      <c r="NX45" s="17" t="s">
        <v>17</v>
      </c>
      <c r="NY45" s="17" t="s">
        <v>30</v>
      </c>
    </row>
    <row r="46" spans="1:389" hidden="1" x14ac:dyDescent="0.35">
      <c r="B46" s="30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15" cm="1">
        <f t="array" aca="1" ref="NK46" ca="1">SUMPRODUCT((OFFSET($B46,0,31*($B$5-1)+1,1,31)&lt;&gt;"")*(IF(OFFSET($B46,0,31*($B$5-1)+1,1,31)=$NY$12,0.5,IF(OFFSET($B46,0,31*($B$5-1)+1,1,31)=$NY$13,0.5,1))*(OFFSET($B$6,0,31*($B$5-1)+1,1,31))))</f>
        <v>0</v>
      </c>
      <c r="NL46" s="19" cm="1">
        <f t="array" aca="1" ref="NL46" ca="1">SUMPRODUCT((OFFSET($B46,0,1,1,372)&lt;&gt;"")*(IF(OFFSET($B46,0,1,1,372)=$NY$12,0.5,IF(OFFSET($B46,0,1,1,372)=$NY$13,0.5,1))*(OFFSET($B$5,0,1,1,372))))</f>
        <v>0</v>
      </c>
      <c r="NM46" s="38">
        <f t="shared" ca="1" si="7"/>
        <v>0</v>
      </c>
      <c r="NN46" s="38">
        <f t="shared" ca="1" si="7"/>
        <v>0</v>
      </c>
      <c r="NO46" s="38">
        <f t="shared" ca="1" si="7"/>
        <v>0</v>
      </c>
      <c r="NP46" s="38">
        <f t="shared" ca="1" si="7"/>
        <v>0</v>
      </c>
      <c r="NQ46" s="38">
        <f t="shared" ca="1" si="7"/>
        <v>0</v>
      </c>
      <c r="NR46" s="38">
        <f t="shared" ca="1" si="7"/>
        <v>0</v>
      </c>
      <c r="NS46" s="38">
        <f t="shared" ca="1" si="7"/>
        <v>0</v>
      </c>
    </row>
    <row r="47" spans="1:389" hidden="1" x14ac:dyDescent="0.35">
      <c r="B47" s="30" t="s">
        <v>66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15" cm="1">
        <f t="array" aca="1" ref="NK47" ca="1">SUMPRODUCT((OFFSET($B47,0,31*($B$5-1)+1,1,31)&lt;&gt;"")*(IF(OFFSET($B47,0,31*($B$5-1)+1,1,31)=$NY$12,0.5,IF(OFFSET($B47,0,31*($B$5-1)+1,1,31)=$NY$13,0.5,1))*(OFFSET($B$6,0,31*($B$5-1)+1,1,31))))</f>
        <v>0</v>
      </c>
      <c r="NL47" s="19" cm="1">
        <f t="array" aca="1" ref="NL47" ca="1">SUMPRODUCT((OFFSET($B47,0,1,1,372)&lt;&gt;"")*(IF(OFFSET($B47,0,1,1,372)=$NY$12,0.5,IF(OFFSET($B47,0,1,1,372)=$NY$13,0.5,1))*(OFFSET($B$5,0,1,1,372))))</f>
        <v>0</v>
      </c>
      <c r="NM47" s="38">
        <f t="shared" ca="1" si="7"/>
        <v>0</v>
      </c>
      <c r="NN47" s="38">
        <f t="shared" ca="1" si="7"/>
        <v>0</v>
      </c>
      <c r="NO47" s="38">
        <f t="shared" ca="1" si="7"/>
        <v>0</v>
      </c>
      <c r="NP47" s="38">
        <f t="shared" ca="1" si="7"/>
        <v>0</v>
      </c>
      <c r="NQ47" s="38">
        <f t="shared" ca="1" si="7"/>
        <v>0</v>
      </c>
      <c r="NR47" s="38">
        <f t="shared" ca="1" si="7"/>
        <v>0</v>
      </c>
      <c r="NS47" s="38">
        <f t="shared" ca="1" si="7"/>
        <v>0</v>
      </c>
    </row>
    <row r="48" spans="1:389" hidden="1" x14ac:dyDescent="0.35">
      <c r="B48" s="30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15" cm="1">
        <f t="array" aca="1" ref="NK48" ca="1">SUMPRODUCT((OFFSET($B48,0,31*($B$5-1)+1,1,31)&lt;&gt;"")*(IF(OFFSET($B48,0,31*($B$5-1)+1,1,31)=$NY$12,0.5,IF(OFFSET($B48,0,31*($B$5-1)+1,1,31)=$NY$13,0.5,1))*(OFFSET($B$6,0,31*($B$5-1)+1,1,31))))</f>
        <v>0</v>
      </c>
      <c r="NL48" s="19" cm="1">
        <f t="array" aca="1" ref="NL48" ca="1">SUMPRODUCT((OFFSET($B48,0,1,1,372)&lt;&gt;"")*(IF(OFFSET($B48,0,1,1,372)=$NY$12,0.5,IF(OFFSET($B48,0,1,1,372)=$NY$13,0.5,1))*(OFFSET($B$5,0,1,1,372))))</f>
        <v>0</v>
      </c>
      <c r="NM48" s="38">
        <f t="shared" ca="1" si="7"/>
        <v>0</v>
      </c>
      <c r="NN48" s="38">
        <f t="shared" ca="1" si="7"/>
        <v>0</v>
      </c>
      <c r="NO48" s="38">
        <f t="shared" ca="1" si="7"/>
        <v>0</v>
      </c>
      <c r="NP48" s="38">
        <f t="shared" ca="1" si="7"/>
        <v>0</v>
      </c>
      <c r="NQ48" s="38">
        <f t="shared" ca="1" si="7"/>
        <v>0</v>
      </c>
      <c r="NR48" s="38">
        <f t="shared" ca="1" si="7"/>
        <v>0</v>
      </c>
      <c r="NS48" s="38">
        <f t="shared" ca="1" si="7"/>
        <v>0</v>
      </c>
    </row>
    <row r="49" spans="2:383" hidden="1" x14ac:dyDescent="0.35">
      <c r="B49" s="30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15" cm="1">
        <f t="array" aca="1" ref="NK49" ca="1">SUMPRODUCT((OFFSET($B49,0,31*($B$5-1)+1,1,31)&lt;&gt;"")*(IF(OFFSET($B49,0,31*($B$5-1)+1,1,31)=$NY$12,0.5,IF(OFFSET($B49,0,31*($B$5-1)+1,1,31)=$NY$13,0.5,1))*(OFFSET($B$6,0,31*($B$5-1)+1,1,31))))</f>
        <v>0</v>
      </c>
      <c r="NL49" s="19" cm="1">
        <f t="array" aca="1" ref="NL49" ca="1">SUMPRODUCT((OFFSET($B49,0,1,1,372)&lt;&gt;"")*(IF(OFFSET($B49,0,1,1,372)=$NY$12,0.5,IF(OFFSET($B49,0,1,1,372)=$NY$13,0.5,1))*(OFFSET($B$5,0,1,1,372))))</f>
        <v>0</v>
      </c>
      <c r="NM49" s="38">
        <f t="shared" ca="1" si="7"/>
        <v>0</v>
      </c>
      <c r="NN49" s="38">
        <f t="shared" ca="1" si="7"/>
        <v>0</v>
      </c>
      <c r="NO49" s="38">
        <f t="shared" ca="1" si="7"/>
        <v>0</v>
      </c>
      <c r="NP49" s="38">
        <f t="shared" ca="1" si="7"/>
        <v>0</v>
      </c>
      <c r="NQ49" s="38">
        <f t="shared" ca="1" si="7"/>
        <v>0</v>
      </c>
      <c r="NR49" s="38">
        <f t="shared" ca="1" si="7"/>
        <v>0</v>
      </c>
      <c r="NS49" s="38">
        <f t="shared" ca="1" si="7"/>
        <v>0</v>
      </c>
    </row>
    <row r="50" spans="2:383" hidden="1" x14ac:dyDescent="0.35">
      <c r="B50" s="30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15" cm="1">
        <f t="array" aca="1" ref="NK50" ca="1">SUMPRODUCT((OFFSET($B50,0,31*($B$5-1)+1,1,31)&lt;&gt;"")*(IF(OFFSET($B50,0,31*($B$5-1)+1,1,31)=$NY$12,0.5,IF(OFFSET($B50,0,31*($B$5-1)+1,1,31)=$NY$13,0.5,1))*(OFFSET($B$6,0,31*($B$5-1)+1,1,31))))</f>
        <v>0</v>
      </c>
      <c r="NL50" s="19" cm="1">
        <f t="array" aca="1" ref="NL50" ca="1">SUMPRODUCT((OFFSET($B50,0,1,1,372)&lt;&gt;"")*(IF(OFFSET($B50,0,1,1,372)=$NY$12,0.5,IF(OFFSET($B50,0,1,1,372)=$NY$13,0.5,1))*(OFFSET($B$5,0,1,1,372))))</f>
        <v>0</v>
      </c>
      <c r="NM50" s="38">
        <f t="shared" ca="1" si="7"/>
        <v>0</v>
      </c>
      <c r="NN50" s="38">
        <f t="shared" ca="1" si="7"/>
        <v>0</v>
      </c>
      <c r="NO50" s="38">
        <f t="shared" ca="1" si="7"/>
        <v>0</v>
      </c>
      <c r="NP50" s="38">
        <f t="shared" ca="1" si="7"/>
        <v>0</v>
      </c>
      <c r="NQ50" s="38">
        <f t="shared" ca="1" si="7"/>
        <v>0</v>
      </c>
      <c r="NR50" s="38">
        <f t="shared" ca="1" si="7"/>
        <v>0</v>
      </c>
      <c r="NS50" s="38">
        <f t="shared" ca="1" si="7"/>
        <v>0</v>
      </c>
    </row>
    <row r="51" spans="2:383" hidden="1" x14ac:dyDescent="0.35">
      <c r="B51" s="30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15" cm="1">
        <f t="array" aca="1" ref="NK51" ca="1">SUMPRODUCT((OFFSET($B51,0,31*($B$5-1)+1,1,31)&lt;&gt;"")*(IF(OFFSET($B51,0,31*($B$5-1)+1,1,31)=$NY$12,0.5,IF(OFFSET($B51,0,31*($B$5-1)+1,1,31)=$NY$13,0.5,1))*(OFFSET($B$6,0,31*($B$5-1)+1,1,31))))</f>
        <v>0</v>
      </c>
      <c r="NL51" s="19" cm="1">
        <f t="array" aca="1" ref="NL51" ca="1">SUMPRODUCT((OFFSET($B51,0,1,1,372)&lt;&gt;"")*(IF(OFFSET($B51,0,1,1,372)=$NY$12,0.5,IF(OFFSET($B51,0,1,1,372)=$NY$13,0.5,1))*(OFFSET($B$5,0,1,1,372))))</f>
        <v>0</v>
      </c>
      <c r="NM51" s="38">
        <f t="shared" ca="1" si="7"/>
        <v>0</v>
      </c>
      <c r="NN51" s="38">
        <f t="shared" ca="1" si="7"/>
        <v>0</v>
      </c>
      <c r="NO51" s="38">
        <f t="shared" ca="1" si="7"/>
        <v>0</v>
      </c>
      <c r="NP51" s="38">
        <f t="shared" ca="1" si="7"/>
        <v>0</v>
      </c>
      <c r="NQ51" s="38">
        <f t="shared" ca="1" si="7"/>
        <v>0</v>
      </c>
      <c r="NR51" s="38">
        <f t="shared" ca="1" si="7"/>
        <v>0</v>
      </c>
      <c r="NS51" s="38">
        <f t="shared" ca="1" si="7"/>
        <v>0</v>
      </c>
    </row>
    <row r="52" spans="2:383" hidden="1" x14ac:dyDescent="0.35">
      <c r="B52" s="30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15" cm="1">
        <f t="array" aca="1" ref="NK52" ca="1">SUMPRODUCT((OFFSET($B52,0,31*($B$5-1)+1,1,31)&lt;&gt;"")*(IF(OFFSET($B52,0,31*($B$5-1)+1,1,31)=$NY$12,0.5,IF(OFFSET($B52,0,31*($B$5-1)+1,1,31)=$NY$13,0.5,1))*(OFFSET($B$6,0,31*($B$5-1)+1,1,31))))</f>
        <v>0</v>
      </c>
      <c r="NL52" s="19" cm="1">
        <f t="array" aca="1" ref="NL52" ca="1">SUMPRODUCT((OFFSET($B52,0,1,1,372)&lt;&gt;"")*(IF(OFFSET($B52,0,1,1,372)=$NY$12,0.5,IF(OFFSET($B52,0,1,1,372)=$NY$13,0.5,1))*(OFFSET($B$5,0,1,1,372))))</f>
        <v>0</v>
      </c>
      <c r="NM52" s="38">
        <f t="shared" ca="1" si="7"/>
        <v>0</v>
      </c>
      <c r="NN52" s="38">
        <f t="shared" ca="1" si="7"/>
        <v>0</v>
      </c>
      <c r="NO52" s="38">
        <f t="shared" ca="1" si="7"/>
        <v>0</v>
      </c>
      <c r="NP52" s="38">
        <f t="shared" ca="1" si="7"/>
        <v>0</v>
      </c>
      <c r="NQ52" s="38">
        <f t="shared" ca="1" si="7"/>
        <v>0</v>
      </c>
      <c r="NR52" s="38">
        <f t="shared" ca="1" si="7"/>
        <v>0</v>
      </c>
      <c r="NS52" s="38">
        <f t="shared" ca="1" si="7"/>
        <v>0</v>
      </c>
    </row>
    <row r="53" spans="2:383" hidden="1" x14ac:dyDescent="0.35">
      <c r="B53" s="30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15" cm="1">
        <f t="array" aca="1" ref="NK53" ca="1">SUMPRODUCT((OFFSET($B53,0,31*($B$5-1)+1,1,31)&lt;&gt;"")*(IF(OFFSET($B53,0,31*($B$5-1)+1,1,31)=$NY$12,0.5,IF(OFFSET($B53,0,31*($B$5-1)+1,1,31)=$NY$13,0.5,1))*(OFFSET($B$6,0,31*($B$5-1)+1,1,31))))</f>
        <v>0</v>
      </c>
      <c r="NL53" s="19" cm="1">
        <f t="array" aca="1" ref="NL53" ca="1">SUMPRODUCT((OFFSET($B53,0,1,1,372)&lt;&gt;"")*(IF(OFFSET($B53,0,1,1,372)=$NY$12,0.5,IF(OFFSET($B53,0,1,1,372)=$NY$13,0.5,1))*(OFFSET($B$5,0,1,1,372))))</f>
        <v>0</v>
      </c>
      <c r="NM53" s="38">
        <f t="shared" ca="1" si="7"/>
        <v>0</v>
      </c>
      <c r="NN53" s="38">
        <f t="shared" ca="1" si="7"/>
        <v>0</v>
      </c>
      <c r="NO53" s="38">
        <f t="shared" ca="1" si="7"/>
        <v>0</v>
      </c>
      <c r="NP53" s="38">
        <f t="shared" ca="1" si="7"/>
        <v>0</v>
      </c>
      <c r="NQ53" s="38">
        <f t="shared" ca="1" si="7"/>
        <v>0</v>
      </c>
      <c r="NR53" s="38">
        <f t="shared" ca="1" si="7"/>
        <v>0</v>
      </c>
      <c r="NS53" s="38">
        <f t="shared" ca="1" si="7"/>
        <v>0</v>
      </c>
    </row>
    <row r="54" spans="2:383" hidden="1" x14ac:dyDescent="0.35">
      <c r="B54" s="30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15" cm="1">
        <f t="array" aca="1" ref="NK54" ca="1">SUMPRODUCT((OFFSET($B54,0,31*($B$5-1)+1,1,31)&lt;&gt;"")*(IF(OFFSET($B54,0,31*($B$5-1)+1,1,31)=$NY$12,0.5,IF(OFFSET($B54,0,31*($B$5-1)+1,1,31)=$NY$13,0.5,1))*(OFFSET($B$6,0,31*($B$5-1)+1,1,31))))</f>
        <v>0</v>
      </c>
      <c r="NL54" s="19" cm="1">
        <f t="array" aca="1" ref="NL54" ca="1">SUMPRODUCT((OFFSET($B54,0,1,1,372)&lt;&gt;"")*(IF(OFFSET($B54,0,1,1,372)=$NY$12,0.5,IF(OFFSET($B54,0,1,1,372)=$NY$13,0.5,1))*(OFFSET($B$5,0,1,1,372))))</f>
        <v>0</v>
      </c>
      <c r="NM54" s="38">
        <f t="shared" ca="1" si="7"/>
        <v>0</v>
      </c>
      <c r="NN54" s="38">
        <f t="shared" ca="1" si="7"/>
        <v>0</v>
      </c>
      <c r="NO54" s="38">
        <f t="shared" ca="1" si="7"/>
        <v>0</v>
      </c>
      <c r="NP54" s="38">
        <f t="shared" ca="1" si="7"/>
        <v>0</v>
      </c>
      <c r="NQ54" s="38">
        <f t="shared" ca="1" si="7"/>
        <v>0</v>
      </c>
      <c r="NR54" s="38">
        <f t="shared" ca="1" si="7"/>
        <v>0</v>
      </c>
      <c r="NS54" s="38">
        <f t="shared" ca="1" si="7"/>
        <v>0</v>
      </c>
    </row>
    <row r="55" spans="2:383" hidden="1" x14ac:dyDescent="0.35">
      <c r="B55" s="30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15" cm="1">
        <f t="array" aca="1" ref="NK55" ca="1">SUMPRODUCT((OFFSET($B55,0,31*($B$5-1)+1,1,31)&lt;&gt;"")*(IF(OFFSET($B55,0,31*($B$5-1)+1,1,31)=$NY$12,0.5,IF(OFFSET($B55,0,31*($B$5-1)+1,1,31)=$NY$13,0.5,1))*(OFFSET($B$6,0,31*($B$5-1)+1,1,31))))</f>
        <v>0</v>
      </c>
      <c r="NL55" s="19" cm="1">
        <f t="array" aca="1" ref="NL55" ca="1">SUMPRODUCT((OFFSET($B55,0,1,1,372)&lt;&gt;"")*(IF(OFFSET($B55,0,1,1,372)=$NY$12,0.5,IF(OFFSET($B55,0,1,1,372)=$NY$13,0.5,1))*(OFFSET($B$5,0,1,1,372))))</f>
        <v>0</v>
      </c>
      <c r="NM55" s="38">
        <f t="shared" ca="1" si="7"/>
        <v>0</v>
      </c>
      <c r="NN55" s="38">
        <f t="shared" ca="1" si="7"/>
        <v>0</v>
      </c>
      <c r="NO55" s="38">
        <f t="shared" ca="1" si="7"/>
        <v>0</v>
      </c>
      <c r="NP55" s="38">
        <f t="shared" ca="1" si="7"/>
        <v>0</v>
      </c>
      <c r="NQ55" s="38">
        <f t="shared" ca="1" si="7"/>
        <v>0</v>
      </c>
      <c r="NR55" s="38">
        <f t="shared" ca="1" si="7"/>
        <v>0</v>
      </c>
      <c r="NS55" s="38">
        <f t="shared" ca="1" si="7"/>
        <v>0</v>
      </c>
    </row>
    <row r="56" spans="2:383" hidden="1" x14ac:dyDescent="0.35">
      <c r="B56" s="30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15" cm="1">
        <f t="array" aca="1" ref="NK56" ca="1">SUMPRODUCT((OFFSET($B56,0,31*($B$5-1)+1,1,31)&lt;&gt;"")*(IF(OFFSET($B56,0,31*($B$5-1)+1,1,31)=$NY$12,0.5,IF(OFFSET($B56,0,31*($B$5-1)+1,1,31)=$NY$13,0.5,1))*(OFFSET($B$6,0,31*($B$5-1)+1,1,31))))</f>
        <v>0</v>
      </c>
      <c r="NL56" s="19" cm="1">
        <f t="array" aca="1" ref="NL56" ca="1">SUMPRODUCT((OFFSET($B56,0,1,1,372)&lt;&gt;"")*(IF(OFFSET($B56,0,1,1,372)=$NY$12,0.5,IF(OFFSET($B56,0,1,1,372)=$NY$13,0.5,1))*(OFFSET($B$5,0,1,1,372))))</f>
        <v>0</v>
      </c>
      <c r="NM56" s="38">
        <f t="shared" ca="1" si="7"/>
        <v>0</v>
      </c>
      <c r="NN56" s="38">
        <f t="shared" ca="1" si="7"/>
        <v>0</v>
      </c>
      <c r="NO56" s="38">
        <f t="shared" ca="1" si="7"/>
        <v>0</v>
      </c>
      <c r="NP56" s="38">
        <f t="shared" ca="1" si="7"/>
        <v>0</v>
      </c>
      <c r="NQ56" s="38">
        <f t="shared" ca="1" si="7"/>
        <v>0</v>
      </c>
      <c r="NR56" s="38">
        <f t="shared" ca="1" si="7"/>
        <v>0</v>
      </c>
      <c r="NS56" s="38">
        <f t="shared" ca="1" si="7"/>
        <v>0</v>
      </c>
    </row>
    <row r="57" spans="2:383" hidden="1" x14ac:dyDescent="0.35">
      <c r="B57" s="30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15" cm="1">
        <f t="array" aca="1" ref="NK57" ca="1">SUMPRODUCT((OFFSET($B57,0,31*($B$5-1)+1,1,31)&lt;&gt;"")*(IF(OFFSET($B57,0,31*($B$5-1)+1,1,31)=$NY$12,0.5,IF(OFFSET($B57,0,31*($B$5-1)+1,1,31)=$NY$13,0.5,1))*(OFFSET($B$6,0,31*($B$5-1)+1,1,31))))</f>
        <v>0</v>
      </c>
      <c r="NL57" s="19" cm="1">
        <f t="array" aca="1" ref="NL57" ca="1">SUMPRODUCT((OFFSET($B57,0,1,1,372)&lt;&gt;"")*(IF(OFFSET($B57,0,1,1,372)=$NY$12,0.5,IF(OFFSET($B57,0,1,1,372)=$NY$13,0.5,1))*(OFFSET($B$5,0,1,1,372))))</f>
        <v>0</v>
      </c>
      <c r="NM57" s="38">
        <f t="shared" ca="1" si="7"/>
        <v>0</v>
      </c>
      <c r="NN57" s="38">
        <f t="shared" ca="1" si="7"/>
        <v>0</v>
      </c>
      <c r="NO57" s="38">
        <f t="shared" ca="1" si="7"/>
        <v>0</v>
      </c>
      <c r="NP57" s="38">
        <f t="shared" ca="1" si="7"/>
        <v>0</v>
      </c>
      <c r="NQ57" s="38">
        <f t="shared" ca="1" si="7"/>
        <v>0</v>
      </c>
      <c r="NR57" s="38">
        <f t="shared" ca="1" si="7"/>
        <v>0</v>
      </c>
      <c r="NS57" s="38">
        <f t="shared" ca="1" si="7"/>
        <v>0</v>
      </c>
    </row>
    <row r="58" spans="2:383" hidden="1" x14ac:dyDescent="0.35">
      <c r="B58" s="30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15" cm="1">
        <f t="array" aca="1" ref="NK58" ca="1">SUMPRODUCT((OFFSET($B58,0,31*($B$5-1)+1,1,31)&lt;&gt;"")*(IF(OFFSET($B58,0,31*($B$5-1)+1,1,31)=$NY$12,0.5,IF(OFFSET($B58,0,31*($B$5-1)+1,1,31)=$NY$13,0.5,1))*(OFFSET($B$6,0,31*($B$5-1)+1,1,31))))</f>
        <v>0</v>
      </c>
      <c r="NL58" s="19" cm="1">
        <f t="array" aca="1" ref="NL58" ca="1">SUMPRODUCT((OFFSET($B58,0,1,1,372)&lt;&gt;"")*(IF(OFFSET($B58,0,1,1,372)=$NY$12,0.5,IF(OFFSET($B58,0,1,1,372)=$NY$13,0.5,1))*(OFFSET($B$5,0,1,1,372))))</f>
        <v>0</v>
      </c>
      <c r="NM58" s="38">
        <f t="shared" ca="1" si="7"/>
        <v>0</v>
      </c>
      <c r="NN58" s="38">
        <f t="shared" ca="1" si="7"/>
        <v>0</v>
      </c>
      <c r="NO58" s="38">
        <f t="shared" ca="1" si="7"/>
        <v>0</v>
      </c>
      <c r="NP58" s="38">
        <f t="shared" ca="1" si="7"/>
        <v>0</v>
      </c>
      <c r="NQ58" s="38">
        <f t="shared" ca="1" si="7"/>
        <v>0</v>
      </c>
      <c r="NR58" s="38">
        <f t="shared" ca="1" si="7"/>
        <v>0</v>
      </c>
      <c r="NS58" s="38">
        <f t="shared" ca="1" si="7"/>
        <v>0</v>
      </c>
    </row>
    <row r="59" spans="2:383" hidden="1" x14ac:dyDescent="0.35">
      <c r="B59" s="30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15" cm="1">
        <f t="array" aca="1" ref="NK59" ca="1">SUMPRODUCT((OFFSET($B59,0,31*($B$5-1)+1,1,31)&lt;&gt;"")*(IF(OFFSET($B59,0,31*($B$5-1)+1,1,31)=$NY$12,0.5,IF(OFFSET($B59,0,31*($B$5-1)+1,1,31)=$NY$13,0.5,1))*(OFFSET($B$6,0,31*($B$5-1)+1,1,31))))</f>
        <v>0</v>
      </c>
      <c r="NL59" s="19" cm="1">
        <f t="array" aca="1" ref="NL59" ca="1">SUMPRODUCT((OFFSET($B59,0,1,1,372)&lt;&gt;"")*(IF(OFFSET($B59,0,1,1,372)=$NY$12,0.5,IF(OFFSET($B59,0,1,1,372)=$NY$13,0.5,1))*(OFFSET($B$5,0,1,1,372))))</f>
        <v>0</v>
      </c>
      <c r="NM59" s="38">
        <f t="shared" ca="1" si="7"/>
        <v>0</v>
      </c>
      <c r="NN59" s="38">
        <f t="shared" ca="1" si="7"/>
        <v>0</v>
      </c>
      <c r="NO59" s="38">
        <f t="shared" ca="1" si="7"/>
        <v>0</v>
      </c>
      <c r="NP59" s="38">
        <f t="shared" ca="1" si="7"/>
        <v>0</v>
      </c>
      <c r="NQ59" s="38">
        <f t="shared" ca="1" si="7"/>
        <v>0</v>
      </c>
      <c r="NR59" s="38">
        <f t="shared" ca="1" si="7"/>
        <v>0</v>
      </c>
      <c r="NS59" s="38">
        <f t="shared" ca="1" si="7"/>
        <v>0</v>
      </c>
    </row>
    <row r="60" spans="2:383" hidden="1" x14ac:dyDescent="0.35">
      <c r="B60" s="30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15" cm="1">
        <f t="array" aca="1" ref="NK60" ca="1">SUMPRODUCT((OFFSET($B60,0,31*($B$5-1)+1,1,31)&lt;&gt;"")*(IF(OFFSET($B60,0,31*($B$5-1)+1,1,31)=$NY$12,0.5,IF(OFFSET($B60,0,31*($B$5-1)+1,1,31)=$NY$13,0.5,1))*(OFFSET($B$6,0,31*($B$5-1)+1,1,31))))</f>
        <v>0</v>
      </c>
      <c r="NL60" s="19" cm="1">
        <f t="array" aca="1" ref="NL60" ca="1">SUMPRODUCT((OFFSET($B60,0,1,1,372)&lt;&gt;"")*(IF(OFFSET($B60,0,1,1,372)=$NY$12,0.5,IF(OFFSET($B60,0,1,1,372)=$NY$13,0.5,1))*(OFFSET($B$5,0,1,1,372))))</f>
        <v>0</v>
      </c>
      <c r="NM60" s="38">
        <f t="shared" ca="1" si="7"/>
        <v>0</v>
      </c>
      <c r="NN60" s="38">
        <f t="shared" ca="1" si="7"/>
        <v>0</v>
      </c>
      <c r="NO60" s="38">
        <f t="shared" ca="1" si="7"/>
        <v>0</v>
      </c>
      <c r="NP60" s="38">
        <f t="shared" ca="1" si="7"/>
        <v>0</v>
      </c>
      <c r="NQ60" s="38">
        <f t="shared" ca="1" si="7"/>
        <v>0</v>
      </c>
      <c r="NR60" s="38">
        <f t="shared" ca="1" si="7"/>
        <v>0</v>
      </c>
      <c r="NS60" s="38">
        <f t="shared" ca="1" si="7"/>
        <v>0</v>
      </c>
    </row>
    <row r="61" spans="2:383" hidden="1" x14ac:dyDescent="0.35">
      <c r="B61" s="30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15" cm="1">
        <f t="array" aca="1" ref="NK61" ca="1">SUMPRODUCT((OFFSET($B61,0,31*($B$5-1)+1,1,31)&lt;&gt;"")*(IF(OFFSET($B61,0,31*($B$5-1)+1,1,31)=$NY$12,0.5,IF(OFFSET($B61,0,31*($B$5-1)+1,1,31)=$NY$13,0.5,1))*(OFFSET($B$6,0,31*($B$5-1)+1,1,31))))</f>
        <v>0</v>
      </c>
      <c r="NL61" s="19" cm="1">
        <f t="array" aca="1" ref="NL61" ca="1">SUMPRODUCT((OFFSET($B61,0,1,1,372)&lt;&gt;"")*(IF(OFFSET($B61,0,1,1,372)=$NY$12,0.5,IF(OFFSET($B61,0,1,1,372)=$NY$13,0.5,1))*(OFFSET($B$5,0,1,1,372))))</f>
        <v>0</v>
      </c>
      <c r="NM61" s="38">
        <f t="shared" ca="1" si="7"/>
        <v>0</v>
      </c>
      <c r="NN61" s="38">
        <f t="shared" ca="1" si="7"/>
        <v>0</v>
      </c>
      <c r="NO61" s="38">
        <f t="shared" ca="1" si="7"/>
        <v>0</v>
      </c>
      <c r="NP61" s="38">
        <f t="shared" ca="1" si="7"/>
        <v>0</v>
      </c>
      <c r="NQ61" s="38">
        <f t="shared" ca="1" si="7"/>
        <v>0</v>
      </c>
      <c r="NR61" s="38">
        <f t="shared" ca="1" si="7"/>
        <v>0</v>
      </c>
      <c r="NS61" s="38">
        <f t="shared" ca="1" si="7"/>
        <v>0</v>
      </c>
    </row>
    <row r="62" spans="2:383" hidden="1" x14ac:dyDescent="0.35">
      <c r="B62" s="30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15" cm="1">
        <f t="array" aca="1" ref="NK62" ca="1">SUMPRODUCT((OFFSET($B62,0,31*($B$5-1)+1,1,31)&lt;&gt;"")*(IF(OFFSET($B62,0,31*($B$5-1)+1,1,31)=$NY$12,0.5,IF(OFFSET($B62,0,31*($B$5-1)+1,1,31)=$NY$13,0.5,1))*(OFFSET($B$6,0,31*($B$5-1)+1,1,31))))</f>
        <v>0</v>
      </c>
      <c r="NL62" s="19" cm="1">
        <f t="array" aca="1" ref="NL62" ca="1">SUMPRODUCT((OFFSET($B62,0,1,1,372)&lt;&gt;"")*(IF(OFFSET($B62,0,1,1,372)=$NY$12,0.5,IF(OFFSET($B62,0,1,1,372)=$NY$13,0.5,1))*(OFFSET($B$5,0,1,1,372))))</f>
        <v>0</v>
      </c>
      <c r="NM62" s="38">
        <f t="shared" ca="1" si="7"/>
        <v>0</v>
      </c>
      <c r="NN62" s="38">
        <f t="shared" ca="1" si="7"/>
        <v>0</v>
      </c>
      <c r="NO62" s="38">
        <f t="shared" ca="1" si="7"/>
        <v>0</v>
      </c>
      <c r="NP62" s="38">
        <f t="shared" ca="1" si="7"/>
        <v>0</v>
      </c>
      <c r="NQ62" s="38">
        <f t="shared" ca="1" si="7"/>
        <v>0</v>
      </c>
      <c r="NR62" s="38">
        <f t="shared" ca="1" si="7"/>
        <v>0</v>
      </c>
      <c r="NS62" s="38">
        <f t="shared" ca="1" si="7"/>
        <v>0</v>
      </c>
    </row>
    <row r="63" spans="2:383" hidden="1" x14ac:dyDescent="0.35">
      <c r="B63" s="30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15" cm="1">
        <f t="array" aca="1" ref="NK63" ca="1">SUMPRODUCT((OFFSET($B63,0,31*($B$5-1)+1,1,31)&lt;&gt;"")*(IF(OFFSET($B63,0,31*($B$5-1)+1,1,31)=$NY$12,0.5,IF(OFFSET($B63,0,31*($B$5-1)+1,1,31)=$NY$13,0.5,1))*(OFFSET($B$6,0,31*($B$5-1)+1,1,31))))</f>
        <v>0</v>
      </c>
      <c r="NL63" s="19" cm="1">
        <f t="array" aca="1" ref="NL63" ca="1">SUMPRODUCT((OFFSET($B63,0,1,1,372)&lt;&gt;"")*(IF(OFFSET($B63,0,1,1,372)=$NY$12,0.5,IF(OFFSET($B63,0,1,1,372)=$NY$13,0.5,1))*(OFFSET($B$5,0,1,1,372))))</f>
        <v>0</v>
      </c>
      <c r="NM63" s="38">
        <f t="shared" ca="1" si="7"/>
        <v>0</v>
      </c>
      <c r="NN63" s="38">
        <f t="shared" ca="1" si="7"/>
        <v>0</v>
      </c>
      <c r="NO63" s="38">
        <f t="shared" ca="1" si="7"/>
        <v>0</v>
      </c>
      <c r="NP63" s="38">
        <f t="shared" ca="1" si="7"/>
        <v>0</v>
      </c>
      <c r="NQ63" s="38">
        <f t="shared" ca="1" si="7"/>
        <v>0</v>
      </c>
      <c r="NR63" s="38">
        <f t="shared" ca="1" si="7"/>
        <v>0</v>
      </c>
      <c r="NS63" s="38">
        <f t="shared" ca="1" si="7"/>
        <v>0</v>
      </c>
    </row>
    <row r="64" spans="2:383" hidden="1" x14ac:dyDescent="0.35">
      <c r="B64" s="30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15" cm="1">
        <f t="array" aca="1" ref="NK64" ca="1">SUMPRODUCT((OFFSET($B64,0,31*($B$5-1)+1,1,31)&lt;&gt;"")*(IF(OFFSET($B64,0,31*($B$5-1)+1,1,31)=$NY$12,0.5,IF(OFFSET($B64,0,31*($B$5-1)+1,1,31)=$NY$13,0.5,1))*(OFFSET($B$6,0,31*($B$5-1)+1,1,31))))</f>
        <v>0</v>
      </c>
      <c r="NL64" s="19" cm="1">
        <f t="array" aca="1" ref="NL64" ca="1">SUMPRODUCT((OFFSET($B64,0,1,1,372)&lt;&gt;"")*(IF(OFFSET($B64,0,1,1,372)=$NY$12,0.5,IF(OFFSET($B64,0,1,1,372)=$NY$13,0.5,1))*(OFFSET($B$5,0,1,1,372))))</f>
        <v>0</v>
      </c>
      <c r="NM64" s="38">
        <f t="shared" ca="1" si="7"/>
        <v>0</v>
      </c>
      <c r="NN64" s="38">
        <f t="shared" ca="1" si="7"/>
        <v>0</v>
      </c>
      <c r="NO64" s="38">
        <f t="shared" ca="1" si="7"/>
        <v>0</v>
      </c>
      <c r="NP64" s="38">
        <f t="shared" ca="1" si="7"/>
        <v>0</v>
      </c>
      <c r="NQ64" s="38">
        <f t="shared" ca="1" si="7"/>
        <v>0</v>
      </c>
      <c r="NR64" s="38">
        <f t="shared" ca="1" si="7"/>
        <v>0</v>
      </c>
      <c r="NS64" s="38">
        <f t="shared" ca="1" si="7"/>
        <v>0</v>
      </c>
    </row>
    <row r="65" spans="2:383" hidden="1" x14ac:dyDescent="0.35">
      <c r="B65" s="30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15" cm="1">
        <f t="array" aca="1" ref="NK65" ca="1">SUMPRODUCT((OFFSET($B65,0,31*($B$5-1)+1,1,31)&lt;&gt;"")*(IF(OFFSET($B65,0,31*($B$5-1)+1,1,31)=$NY$12,0.5,IF(OFFSET($B65,0,31*($B$5-1)+1,1,31)=$NY$13,0.5,1))*(OFFSET($B$6,0,31*($B$5-1)+1,1,31))))</f>
        <v>0</v>
      </c>
      <c r="NL65" s="19" cm="1">
        <f t="array" aca="1" ref="NL65" ca="1">SUMPRODUCT((OFFSET($B65,0,1,1,372)&lt;&gt;"")*(IF(OFFSET($B65,0,1,1,372)=$NY$12,0.5,IF(OFFSET($B65,0,1,1,372)=$NY$13,0.5,1))*(OFFSET($B$5,0,1,1,372))))</f>
        <v>0</v>
      </c>
      <c r="NM65" s="38">
        <f t="shared" ca="1" si="7"/>
        <v>0</v>
      </c>
      <c r="NN65" s="38">
        <f t="shared" ca="1" si="7"/>
        <v>0</v>
      </c>
      <c r="NO65" s="38">
        <f t="shared" ca="1" si="7"/>
        <v>0</v>
      </c>
      <c r="NP65" s="38">
        <f t="shared" ca="1" si="7"/>
        <v>0</v>
      </c>
      <c r="NQ65" s="38">
        <f t="shared" ca="1" si="7"/>
        <v>0</v>
      </c>
      <c r="NR65" s="38">
        <f t="shared" ca="1" si="7"/>
        <v>0</v>
      </c>
      <c r="NS65" s="38">
        <f t="shared" ca="1" si="7"/>
        <v>0</v>
      </c>
    </row>
    <row r="66" spans="2:383" hidden="1" x14ac:dyDescent="0.35">
      <c r="B66" s="30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15" cm="1">
        <f t="array" aca="1" ref="NK66" ca="1">SUMPRODUCT((OFFSET($B66,0,31*($B$5-1)+1,1,31)&lt;&gt;"")*(IF(OFFSET($B66,0,31*($B$5-1)+1,1,31)=$NY$12,0.5,IF(OFFSET($B66,0,31*($B$5-1)+1,1,31)=$NY$13,0.5,1))*(OFFSET($B$6,0,31*($B$5-1)+1,1,31))))</f>
        <v>0</v>
      </c>
      <c r="NL66" s="19" cm="1">
        <f t="array" aca="1" ref="NL66" ca="1">SUMPRODUCT((OFFSET($B66,0,1,1,372)&lt;&gt;"")*(IF(OFFSET($B66,0,1,1,372)=$NY$12,0.5,IF(OFFSET($B66,0,1,1,372)=$NY$13,0.5,1))*(OFFSET($B$5,0,1,1,372))))</f>
        <v>0</v>
      </c>
      <c r="NM66" s="38">
        <f t="shared" ca="1" si="7"/>
        <v>0</v>
      </c>
      <c r="NN66" s="38">
        <f t="shared" ca="1" si="7"/>
        <v>0</v>
      </c>
      <c r="NO66" s="38">
        <f t="shared" ca="1" si="7"/>
        <v>0</v>
      </c>
      <c r="NP66" s="38">
        <f t="shared" ca="1" si="7"/>
        <v>0</v>
      </c>
      <c r="NQ66" s="38">
        <f t="shared" ca="1" si="7"/>
        <v>0</v>
      </c>
      <c r="NR66" s="38">
        <f t="shared" ca="1" si="7"/>
        <v>0</v>
      </c>
      <c r="NS66" s="38">
        <f t="shared" ca="1" si="7"/>
        <v>0</v>
      </c>
    </row>
    <row r="67" spans="2:383" hidden="1" x14ac:dyDescent="0.35">
      <c r="B67" s="30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15" cm="1">
        <f t="array" aca="1" ref="NK67" ca="1">SUMPRODUCT((OFFSET($B67,0,31*($B$5-1)+1,1,31)&lt;&gt;"")*(IF(OFFSET($B67,0,31*($B$5-1)+1,1,31)=$NY$12,0.5,IF(OFFSET($B67,0,31*($B$5-1)+1,1,31)=$NY$13,0.5,1))*(OFFSET($B$6,0,31*($B$5-1)+1,1,31))))</f>
        <v>0</v>
      </c>
      <c r="NL67" s="19" cm="1">
        <f t="array" aca="1" ref="NL67" ca="1">SUMPRODUCT((OFFSET($B67,0,1,1,372)&lt;&gt;"")*(IF(OFFSET($B67,0,1,1,372)=$NY$12,0.5,IF(OFFSET($B67,0,1,1,372)=$NY$13,0.5,1))*(OFFSET($B$5,0,1,1,372))))</f>
        <v>0</v>
      </c>
      <c r="NM67" s="38">
        <f t="shared" ca="1" si="7"/>
        <v>0</v>
      </c>
      <c r="NN67" s="38">
        <f t="shared" ca="1" si="7"/>
        <v>0</v>
      </c>
      <c r="NO67" s="38">
        <f t="shared" ca="1" si="7"/>
        <v>0</v>
      </c>
      <c r="NP67" s="38">
        <f t="shared" ca="1" si="7"/>
        <v>0</v>
      </c>
      <c r="NQ67" s="38">
        <f t="shared" ca="1" si="7"/>
        <v>0</v>
      </c>
      <c r="NR67" s="38">
        <f t="shared" ca="1" si="7"/>
        <v>0</v>
      </c>
      <c r="NS67" s="38">
        <f t="shared" ca="1" si="7"/>
        <v>0</v>
      </c>
    </row>
    <row r="68" spans="2:383" hidden="1" x14ac:dyDescent="0.35">
      <c r="B68" s="30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15" cm="1">
        <f t="array" aca="1" ref="NK68" ca="1">SUMPRODUCT((OFFSET($B68,0,31*($B$5-1)+1,1,31)&lt;&gt;"")*(IF(OFFSET($B68,0,31*($B$5-1)+1,1,31)=$NY$12,0.5,IF(OFFSET($B68,0,31*($B$5-1)+1,1,31)=$NY$13,0.5,1))*(OFFSET($B$6,0,31*($B$5-1)+1,1,31))))</f>
        <v>0</v>
      </c>
      <c r="NL68" s="19" cm="1">
        <f t="array" aca="1" ref="NL68" ca="1">SUMPRODUCT((OFFSET($B68,0,1,1,372)&lt;&gt;"")*(IF(OFFSET($B68,0,1,1,372)=$NY$12,0.5,IF(OFFSET($B68,0,1,1,372)=$NY$13,0.5,1))*(OFFSET($B$5,0,1,1,372))))</f>
        <v>0</v>
      </c>
      <c r="NM68" s="38">
        <f t="shared" ca="1" si="7"/>
        <v>0</v>
      </c>
      <c r="NN68" s="38">
        <f t="shared" ca="1" si="7"/>
        <v>0</v>
      </c>
      <c r="NO68" s="38">
        <f t="shared" ca="1" si="7"/>
        <v>0</v>
      </c>
      <c r="NP68" s="38">
        <f t="shared" ca="1" si="7"/>
        <v>0</v>
      </c>
      <c r="NQ68" s="38">
        <f t="shared" ca="1" si="7"/>
        <v>0</v>
      </c>
      <c r="NR68" s="38">
        <f t="shared" ca="1" si="7"/>
        <v>0</v>
      </c>
      <c r="NS68" s="38">
        <f t="shared" ca="1" si="7"/>
        <v>0</v>
      </c>
    </row>
    <row r="69" spans="2:383" hidden="1" x14ac:dyDescent="0.35">
      <c r="B69" s="30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15" cm="1">
        <f t="array" aca="1" ref="NK69" ca="1">SUMPRODUCT((OFFSET($B69,0,31*($B$5-1)+1,1,31)&lt;&gt;"")*(IF(OFFSET($B69,0,31*($B$5-1)+1,1,31)=$NY$12,0.5,IF(OFFSET($B69,0,31*($B$5-1)+1,1,31)=$NY$13,0.5,1))*(OFFSET($B$6,0,31*($B$5-1)+1,1,31))))</f>
        <v>0</v>
      </c>
      <c r="NL69" s="19" cm="1">
        <f t="array" aca="1" ref="NL69" ca="1">SUMPRODUCT((OFFSET($B69,0,1,1,372)&lt;&gt;"")*(IF(OFFSET($B69,0,1,1,372)=$NY$12,0.5,IF(OFFSET($B69,0,1,1,372)=$NY$13,0.5,1))*(OFFSET($B$5,0,1,1,372))))</f>
        <v>0</v>
      </c>
      <c r="NM69" s="38">
        <f t="shared" ca="1" si="7"/>
        <v>0</v>
      </c>
      <c r="NN69" s="38">
        <f t="shared" ca="1" si="7"/>
        <v>0</v>
      </c>
      <c r="NO69" s="38">
        <f t="shared" ca="1" si="7"/>
        <v>0</v>
      </c>
      <c r="NP69" s="38">
        <f t="shared" ca="1" si="7"/>
        <v>0</v>
      </c>
      <c r="NQ69" s="38">
        <f t="shared" ca="1" si="7"/>
        <v>0</v>
      </c>
      <c r="NR69" s="38">
        <f t="shared" ca="1" si="7"/>
        <v>0</v>
      </c>
      <c r="NS69" s="38">
        <f t="shared" ca="1" si="7"/>
        <v>0</v>
      </c>
    </row>
    <row r="70" spans="2:383" hidden="1" x14ac:dyDescent="0.35">
      <c r="B70" s="30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15" cm="1">
        <f t="array" aca="1" ref="NK70" ca="1">SUMPRODUCT((OFFSET($B70,0,31*($B$5-1)+1,1,31)&lt;&gt;"")*(IF(OFFSET($B70,0,31*($B$5-1)+1,1,31)=$NY$12,0.5,IF(OFFSET($B70,0,31*($B$5-1)+1,1,31)=$NY$13,0.5,1))*(OFFSET($B$6,0,31*($B$5-1)+1,1,31))))</f>
        <v>0</v>
      </c>
      <c r="NL70" s="19" cm="1">
        <f t="array" aca="1" ref="NL70" ca="1">SUMPRODUCT((OFFSET($B70,0,1,1,372)&lt;&gt;"")*(IF(OFFSET($B70,0,1,1,372)=$NY$12,0.5,IF(OFFSET($B70,0,1,1,372)=$NY$13,0.5,1))*(OFFSET($B$5,0,1,1,372))))</f>
        <v>0</v>
      </c>
      <c r="NM70" s="38">
        <f t="shared" ca="1" si="7"/>
        <v>0</v>
      </c>
      <c r="NN70" s="38">
        <f t="shared" ca="1" si="7"/>
        <v>0</v>
      </c>
      <c r="NO70" s="38">
        <f t="shared" ca="1" si="7"/>
        <v>0</v>
      </c>
      <c r="NP70" s="38">
        <f t="shared" ca="1" si="7"/>
        <v>0</v>
      </c>
      <c r="NQ70" s="38">
        <f t="shared" ca="1" si="7"/>
        <v>0</v>
      </c>
      <c r="NR70" s="38">
        <f t="shared" ca="1" si="7"/>
        <v>0</v>
      </c>
      <c r="NS70" s="38">
        <f t="shared" ca="1" si="7"/>
        <v>0</v>
      </c>
    </row>
    <row r="71" spans="2:383" hidden="1" x14ac:dyDescent="0.35">
      <c r="B71" s="30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15" cm="1">
        <f t="array" aca="1" ref="NK71" ca="1">SUMPRODUCT((OFFSET($B71,0,31*($B$5-1)+1,1,31)&lt;&gt;"")*(IF(OFFSET($B71,0,31*($B$5-1)+1,1,31)=$NY$12,0.5,IF(OFFSET($B71,0,31*($B$5-1)+1,1,31)=$NY$13,0.5,1))*(OFFSET($B$6,0,31*($B$5-1)+1,1,31))))</f>
        <v>0</v>
      </c>
      <c r="NL71" s="19" cm="1">
        <f t="array" aca="1" ref="NL71" ca="1">SUMPRODUCT((OFFSET($B71,0,1,1,372)&lt;&gt;"")*(IF(OFFSET($B71,0,1,1,372)=$NY$12,0.5,IF(OFFSET($B71,0,1,1,372)=$NY$13,0.5,1))*(OFFSET($B$5,0,1,1,372))))</f>
        <v>0</v>
      </c>
      <c r="NM71" s="38">
        <f t="shared" ca="1" si="7"/>
        <v>0</v>
      </c>
      <c r="NN71" s="38">
        <f t="shared" ca="1" si="7"/>
        <v>0</v>
      </c>
      <c r="NO71" s="38">
        <f t="shared" ca="1" si="7"/>
        <v>0</v>
      </c>
      <c r="NP71" s="38">
        <f t="shared" ca="1" si="7"/>
        <v>0</v>
      </c>
      <c r="NQ71" s="38">
        <f t="shared" ca="1" si="7"/>
        <v>0</v>
      </c>
      <c r="NR71" s="38">
        <f t="shared" ca="1" si="7"/>
        <v>0</v>
      </c>
      <c r="NS71" s="38">
        <f t="shared" ca="1" si="7"/>
        <v>0</v>
      </c>
    </row>
    <row r="75" spans="2:383" x14ac:dyDescent="0.35">
      <c r="G75" s="63"/>
    </row>
    <row r="76" spans="2:383" x14ac:dyDescent="0.35">
      <c r="G76" s="53"/>
    </row>
    <row r="77" spans="2:383" x14ac:dyDescent="0.35">
      <c r="G77" s="30"/>
      <c r="H77" s="30"/>
    </row>
  </sheetData>
  <mergeCells count="10">
    <mergeCell ref="NM6:NS6"/>
    <mergeCell ref="NK7:NK8"/>
    <mergeCell ref="NL7:NL8"/>
    <mergeCell ref="NM7:NM8"/>
    <mergeCell ref="NN7:NN8"/>
    <mergeCell ref="NO7:NO8"/>
    <mergeCell ref="NP7:NP8"/>
    <mergeCell ref="NQ7:NQ8"/>
    <mergeCell ref="NR7:NR8"/>
    <mergeCell ref="NS7:NS8"/>
  </mergeCells>
  <conditionalFormatting sqref="C46:NJ71 C15:NJ25 C10:NJ12 N13:O13 U13:V13 C27:NJ40 G26:H26 N26:O26 U26:V26 AB26:AC26 AG26:NJ26 AB13:AC13 AG13:NJ13 C42:NJ44 G41:H41 N41:O41 U41:V41 AB41:AC41 AG41:NJ41 G45:H45 N45:O45 U45:V45 AB45:AC45 AG45:NJ45 G13:H14 N14:NJ14">
    <cfRule type="expression" dxfId="63" priority="124" stopIfTrue="1">
      <formula>AND(C$7&lt;&gt;"",VLOOKUP(C$8,$NX$33:$NY$45,2,0)&lt;&gt;"Yes")</formula>
    </cfRule>
    <cfRule type="expression" dxfId="62" priority="125" stopIfTrue="1">
      <formula>ISNUMBER(MATCH(DATE($B$4,$B$3+$B$5-1,C$7),HolidayListNamedRange,0))</formula>
    </cfRule>
  </conditionalFormatting>
  <conditionalFormatting sqref="NY33:NY45">
    <cfRule type="expression" dxfId="61" priority="121">
      <formula>NY33="No"</formula>
    </cfRule>
  </conditionalFormatting>
  <conditionalFormatting sqref="I26:M26">
    <cfRule type="expression" dxfId="60" priority="99" stopIfTrue="1">
      <formula>AND(I$7&lt;&gt;"",VLOOKUP(I$8,$NX$25:$NY$31,2,0)&lt;&gt;"Yes")</formula>
    </cfRule>
    <cfRule type="expression" dxfId="59" priority="100" stopIfTrue="1">
      <formula>ISNUMBER(MATCH(DATE($B$4,$B$3+$B$5-1,I$7),HolidayListNamedRange,0))</formula>
    </cfRule>
  </conditionalFormatting>
  <conditionalFormatting sqref="I26:M26">
    <cfRule type="expression" dxfId="58" priority="96">
      <formula>AND(((COUNTIF(I24:I25,"O")+COUNTIF(I24:I25,"L")+COUNTIF(I24:I25,"H1")+COUNTIF(I24:I25,"H2")+COUNTIF(I24:I25,"OY")+COUNTIF(I24:I25,"M")+COUNTIF(I24:I25,"V")+COUNTIF(I24:I25,"P"))/2)&gt;=0,((COUNTIF(I24:I25,"O")+COUNTIF(I24:I25,"L")+COUNTIF(I24:I25,"H1")+COUNTIF(I24:I25,"H2")+COUNTIF(I24:I25,"OY")+COUNTIF(I24:I25,"M")+COUNTIF(I24:I25,"V")+COUNTIF(I24:I25,"P"))/2)&lt;=0.2)</formula>
    </cfRule>
    <cfRule type="expression" dxfId="57" priority="97">
      <formula>AND(((COUNTIF(I24:I25,"O")+COUNTIF(I24:I25,"L")+COUNTIF(I24:I25,"H1")+COUNTIF(I24:I25,"H2")+COUNTIF(I24:I25,"OY")+COUNTIF(I24:I25,"M")+COUNTIF(I24:I25,"V")+COUNTIF(I24:I25,"P"))/2)&gt;0.2,((COUNTIF(I24:I25,"O")+COUNTIF(I24:I25,"L")+COUNTIF(I24:I25,"H1")+COUNTIF(I24:I25,"H2")+COUNTIF(I24:I25,"OY")+COUNTIF(I24:I25,"M")+COUNTIF(I24:I25,"V")+COUNTIF(I24:I25,"P"))/2)&lt;=0.4)</formula>
    </cfRule>
    <cfRule type="expression" dxfId="56" priority="98">
      <formula>AND(((COUNTIF(I24:I25,"O")+COUNTIF(I24:I25,"L")+COUNTIF(I24:I25,"H1")+COUNTIF(I24:I25,"H2")+COUNTIF(I24:I25,"OY")+COUNTIF(I24:I25,"M")+COUNTIF(I24:I25,"V")+COUNTIF(I24:I25,"P"))/2)&gt;=0.4,((COUNTIF(I24:I25,"O")+COUNTIF(I24:I25,"L")+COUNTIF(I24:I25,"H1")+COUNTIF(I24:I25,"H2")+COUNTIF(I24:I25,"OY")+COUNTIF(I24:I25,"M")+COUNTIF(I24:I25,"V")+COUNTIF(I24:I25,"P"))/2)&lt;=1)</formula>
    </cfRule>
  </conditionalFormatting>
  <conditionalFormatting sqref="P26:T26">
    <cfRule type="expression" dxfId="55" priority="94" stopIfTrue="1">
      <formula>AND(P$7&lt;&gt;"",VLOOKUP(P$8,$NX$25:$NY$31,2,0)&lt;&gt;"Yes")</formula>
    </cfRule>
    <cfRule type="expression" dxfId="54" priority="95" stopIfTrue="1">
      <formula>ISNUMBER(MATCH(DATE($B$4,$B$3+$B$5-1,P$7),HolidayListNamedRange,0))</formula>
    </cfRule>
  </conditionalFormatting>
  <conditionalFormatting sqref="P26:T26">
    <cfRule type="expression" dxfId="53" priority="91">
      <formula>AND(((COUNTIF(P24:P25,"O")+COUNTIF(P24:P25,"L")+COUNTIF(P24:P25,"H1")+COUNTIF(P24:P25,"H2")+COUNTIF(P24:P25,"OY")+COUNTIF(P24:P25,"M")+COUNTIF(P24:P25,"V")+COUNTIF(P24:P25,"P"))/2)&gt;=0,((COUNTIF(P24:P25,"O")+COUNTIF(P24:P25,"L")+COUNTIF(P24:P25,"H1")+COUNTIF(P24:P25,"H2")+COUNTIF(P24:P25,"OY")+COUNTIF(P24:P25,"M")+COUNTIF(P24:P25,"V")+COUNTIF(P24:P25,"P"))/2)&lt;=0.2)</formula>
    </cfRule>
    <cfRule type="expression" dxfId="52" priority="92">
      <formula>AND(((COUNTIF(P24:P25,"O")+COUNTIF(P24:P25,"L")+COUNTIF(P24:P25,"H1")+COUNTIF(P24:P25,"H2")+COUNTIF(P24:P25,"OY")+COUNTIF(P24:P25,"M")+COUNTIF(P24:P25,"V")+COUNTIF(P24:P25,"P"))/2)&gt;0.2,((COUNTIF(P24:P25,"O")+COUNTIF(P24:P25,"L")+COUNTIF(P24:P25,"H1")+COUNTIF(P24:P25,"H2")+COUNTIF(P24:P25,"OY")+COUNTIF(P24:P25,"M")+COUNTIF(P24:P25,"V")+COUNTIF(P24:P25,"P"))/2)&lt;=0.4)</formula>
    </cfRule>
    <cfRule type="expression" dxfId="51" priority="93">
      <formula>AND(((COUNTIF(P24:P25,"O")+COUNTIF(P24:P25,"L")+COUNTIF(P24:P25,"H1")+COUNTIF(P24:P25,"H2")+COUNTIF(P24:P25,"OY")+COUNTIF(P24:P25,"M")+COUNTIF(P24:P25,"V")+COUNTIF(P24:P25,"P"))/2)&gt;=0.4,((COUNTIF(P24:P25,"O")+COUNTIF(P24:P25,"L")+COUNTIF(P24:P25,"H1")+COUNTIF(P24:P25,"H2")+COUNTIF(P24:P25,"OY")+COUNTIF(P24:P25,"M")+COUNTIF(P24:P25,"V")+COUNTIF(P24:P25,"P"))/2)&lt;=1)</formula>
    </cfRule>
  </conditionalFormatting>
  <conditionalFormatting sqref="W26:AA26">
    <cfRule type="expression" dxfId="50" priority="89" stopIfTrue="1">
      <formula>AND(W$7&lt;&gt;"",VLOOKUP(W$8,$NX$25:$NY$31,2,0)&lt;&gt;"Yes")</formula>
    </cfRule>
    <cfRule type="expression" dxfId="49" priority="90" stopIfTrue="1">
      <formula>ISNUMBER(MATCH(DATE($B$4,$B$3+$B$5-1,W$7),HolidayListNamedRange,0))</formula>
    </cfRule>
  </conditionalFormatting>
  <conditionalFormatting sqref="W26:AA26">
    <cfRule type="expression" dxfId="48" priority="86">
      <formula>AND(((COUNTIF(W24:W25,"O")+COUNTIF(W24:W25,"L")+COUNTIF(W24:W25,"H1")+COUNTIF(W24:W25,"H2")+COUNTIF(W24:W25,"OY")+COUNTIF(W24:W25,"M")+COUNTIF(W24:W25,"V")+COUNTIF(W24:W25,"P"))/2)&gt;=0,((COUNTIF(W24:W25,"O")+COUNTIF(W24:W25,"L")+COUNTIF(W24:W25,"H1")+COUNTIF(W24:W25,"H2")+COUNTIF(W24:W25,"OY")+COUNTIF(W24:W25,"M")+COUNTIF(W24:W25,"V")+COUNTIF(W24:W25,"P"))/2)&lt;=0.2)</formula>
    </cfRule>
    <cfRule type="expression" dxfId="47" priority="87">
      <formula>AND(((COUNTIF(W24:W25,"O")+COUNTIF(W24:W25,"L")+COUNTIF(W24:W25,"H1")+COUNTIF(W24:W25,"H2")+COUNTIF(W24:W25,"OY")+COUNTIF(W24:W25,"M")+COUNTIF(W24:W25,"V")+COUNTIF(W24:W25,"P"))/2)&gt;0.2,((COUNTIF(W24:W25,"O")+COUNTIF(W24:W25,"L")+COUNTIF(W24:W25,"H1")+COUNTIF(W24:W25,"H2")+COUNTIF(W24:W25,"OY")+COUNTIF(W24:W25,"M")+COUNTIF(W24:W25,"V")+COUNTIF(W24:W25,"P"))/2)&lt;=0.4)</formula>
    </cfRule>
    <cfRule type="expression" dxfId="46" priority="88">
      <formula>AND(((COUNTIF(W24:W25,"O")+COUNTIF(W24:W25,"L")+COUNTIF(W24:W25,"H1")+COUNTIF(W24:W25,"H2")+COUNTIF(W24:W25,"OY")+COUNTIF(W24:W25,"M")+COUNTIF(W24:W25,"V")+COUNTIF(W24:W25,"P"))/2)&gt;=0.4,((COUNTIF(W24:W25,"O")+COUNTIF(W24:W25,"L")+COUNTIF(W24:W25,"H1")+COUNTIF(W24:W25,"H2")+COUNTIF(W24:W25,"OY")+COUNTIF(W24:W25,"M")+COUNTIF(W24:W25,"V")+COUNTIF(W24:W25,"P"))/2)&lt;=1)</formula>
    </cfRule>
  </conditionalFormatting>
  <conditionalFormatting sqref="AD26:AF26">
    <cfRule type="expression" dxfId="45" priority="84" stopIfTrue="1">
      <formula>AND(AD$7&lt;&gt;"",VLOOKUP(AD$8,$NX$25:$NY$31,2,0)&lt;&gt;"Yes")</formula>
    </cfRule>
    <cfRule type="expression" dxfId="44" priority="85" stopIfTrue="1">
      <formula>ISNUMBER(MATCH(DATE($B$4,$B$3+$B$5-1,AD$7),HolidayListNamedRange,0))</formula>
    </cfRule>
  </conditionalFormatting>
  <conditionalFormatting sqref="AD26:AF26">
    <cfRule type="expression" dxfId="43" priority="81">
      <formula>AND(((COUNTIF(AD24:AD25,"O")+COUNTIF(AD24:AD25,"L")+COUNTIF(AD24:AD25,"H1")+COUNTIF(AD24:AD25,"H2")+COUNTIF(AD24:AD25,"OY")+COUNTIF(AD24:AD25,"M")+COUNTIF(AD24:AD25,"V")+COUNTIF(AD24:AD25,"P"))/2)&gt;=0,((COUNTIF(AD24:AD25,"O")+COUNTIF(AD24:AD25,"L")+COUNTIF(AD24:AD25,"H1")+COUNTIF(AD24:AD25,"H2")+COUNTIF(AD24:AD25,"OY")+COUNTIF(AD24:AD25,"M")+COUNTIF(AD24:AD25,"V")+COUNTIF(AD24:AD25,"P"))/2)&lt;=0.2)</formula>
    </cfRule>
    <cfRule type="expression" dxfId="42" priority="82">
      <formula>AND(((COUNTIF(AD24:AD25,"O")+COUNTIF(AD24:AD25,"L")+COUNTIF(AD24:AD25,"H1")+COUNTIF(AD24:AD25,"H2")+COUNTIF(AD24:AD25,"OY")+COUNTIF(AD24:AD25,"M")+COUNTIF(AD24:AD25,"V")+COUNTIF(AD24:AD25,"P"))/2)&gt;0.2,((COUNTIF(AD24:AD25,"O")+COUNTIF(AD24:AD25,"L")+COUNTIF(AD24:AD25,"H1")+COUNTIF(AD24:AD25,"H2")+COUNTIF(AD24:AD25,"OY")+COUNTIF(AD24:AD25,"M")+COUNTIF(AD24:AD25,"V")+COUNTIF(AD24:AD25,"P"))/2)&lt;=0.4)</formula>
    </cfRule>
    <cfRule type="expression" dxfId="41" priority="83">
      <formula>AND(((COUNTIF(AD24:AD25,"O")+COUNTIF(AD24:AD25,"L")+COUNTIF(AD24:AD25,"H1")+COUNTIF(AD24:AD25,"H2")+COUNTIF(AD24:AD25,"OY")+COUNTIF(AD24:AD25,"M")+COUNTIF(AD24:AD25,"V")+COUNTIF(AD24:AD25,"P"))/2)&gt;=0.4,((COUNTIF(AD24:AD25,"O")+COUNTIF(AD24:AD25,"L")+COUNTIF(AD24:AD25,"H1")+COUNTIF(AD24:AD25,"H2")+COUNTIF(AD24:AD25,"OY")+COUNTIF(AD24:AD25,"M")+COUNTIF(AD24:AD25,"V")+COUNTIF(AD24:AD25,"P"))/2)&lt;=1)</formula>
    </cfRule>
  </conditionalFormatting>
  <conditionalFormatting sqref="C26:F26">
    <cfRule type="expression" dxfId="40" priority="64" stopIfTrue="1">
      <formula>AND(C$7&lt;&gt;"",VLOOKUP(C$8,$NX$25:$NY$31,2,0)&lt;&gt;"Yes")</formula>
    </cfRule>
    <cfRule type="expression" dxfId="39" priority="65" stopIfTrue="1">
      <formula>ISNUMBER(MATCH(DATE($B$4,$B$3+$B$5-1,C$7),HolidayListNamedRange,0))</formula>
    </cfRule>
  </conditionalFormatting>
  <conditionalFormatting sqref="C26:F26">
    <cfRule type="expression" dxfId="38" priority="61">
      <formula>AND(((COUNTIF(C24:C25,"O")+COUNTIF(C24:C25,"L")+COUNTIF(C24:C25,"H1")+COUNTIF(C24:C25,"H2")+COUNTIF(C24:C25,"OY")+COUNTIF(C24:C25,"M")+COUNTIF(C24:C25,"V")+COUNTIF(C24:C25,"P"))/2)&gt;=0,((COUNTIF(C24:C25,"O")+COUNTIF(C24:C25,"L")+COUNTIF(C24:C25,"H1")+COUNTIF(C24:C25,"H2")+COUNTIF(C24:C25,"OY")+COUNTIF(C24:C25,"M")+COUNTIF(C24:C25,"V")+COUNTIF(C24:C25,"P"))/2)&lt;=0.2)</formula>
    </cfRule>
    <cfRule type="expression" dxfId="37" priority="62">
      <formula>AND(((COUNTIF(C24:C25,"O")+COUNTIF(C24:C25,"L")+COUNTIF(C24:C25,"H1")+COUNTIF(C24:C25,"H2")+COUNTIF(C24:C25,"OY")+COUNTIF(C24:C25,"M")+COUNTIF(C24:C25,"V")+COUNTIF(C24:C25,"P"))/2)&gt;0.2,((COUNTIF(C24:C25,"O")+COUNTIF(C24:C25,"L")+COUNTIF(C24:C25,"H1")+COUNTIF(C24:C25,"H2")+COUNTIF(C24:C25,"OY")+COUNTIF(C24:C25,"M")+COUNTIF(C24:C25,"V")+COUNTIF(C24:C25,"P"))/2)&lt;=0.4)</formula>
    </cfRule>
    <cfRule type="expression" dxfId="36" priority="63">
      <formula>AND(((COUNTIF(C24:C25,"O")+COUNTIF(C24:C25,"L")+COUNTIF(C24:C25,"H1")+COUNTIF(C24:C25,"H2")+COUNTIF(C24:C25,"OY")+COUNTIF(C24:C25,"M")+COUNTIF(C24:C25,"V")+COUNTIF(C24:C25,"P"))/2)&gt;=0.4,((COUNTIF(C24:C25,"O")+COUNTIF(C24:C25,"L")+COUNTIF(C24:C25,"H1")+COUNTIF(C24:C25,"H2")+COUNTIF(C24:C25,"OY")+COUNTIF(C24:C25,"M")+COUNTIF(C24:C25,"V")+COUNTIF(C24:C25,"P"))/2)&lt;=1)</formula>
    </cfRule>
  </conditionalFormatting>
  <conditionalFormatting sqref="C41:F41">
    <cfRule type="expression" dxfId="35" priority="59" stopIfTrue="1">
      <formula>AND(C$7&lt;&gt;"",VLOOKUP(C$8,$NX$25:$NY$31,2,0)&lt;&gt;"Yes")</formula>
    </cfRule>
    <cfRule type="expression" dxfId="34" priority="60" stopIfTrue="1">
      <formula>ISNUMBER(MATCH(DATE($B$4,$B$3+$B$5-1,C$7),HolidayListNamedRange,0))</formula>
    </cfRule>
  </conditionalFormatting>
  <conditionalFormatting sqref="C41:F41">
    <cfRule type="expression" dxfId="33" priority="56">
      <formula>AND(((COUNTIF(C39:C40,"O")+COUNTIF(C39:C40,"L")+COUNTIF(C39:C40,"H1")+COUNTIF(C39:C40,"H2")+COUNTIF(C39:C40,"OY")+COUNTIF(C39:C40,"M")+COUNTIF(C39:C40,"V")+COUNTIF(C39:C40,"P"))/2)&gt;=0,((COUNTIF(C39:C40,"O")+COUNTIF(C39:C40,"L")+COUNTIF(C39:C40,"H1")+COUNTIF(C39:C40,"H2")+COUNTIF(C39:C40,"OY")+COUNTIF(C39:C40,"M")+COUNTIF(C39:C40,"V")+COUNTIF(C39:C40,"P"))/2)&lt;=0.2)</formula>
    </cfRule>
    <cfRule type="expression" dxfId="32" priority="57">
      <formula>AND(((COUNTIF(C39:C40,"O")+COUNTIF(C39:C40,"L")+COUNTIF(C39:C40,"H1")+COUNTIF(C39:C40,"H2")+COUNTIF(C39:C40,"OY")+COUNTIF(C39:C40,"M")+COUNTIF(C39:C40,"V")+COUNTIF(C39:C40,"P"))/2)&gt;0.2,((COUNTIF(C39:C40,"O")+COUNTIF(C39:C40,"L")+COUNTIF(C39:C40,"H1")+COUNTIF(C39:C40,"H2")+COUNTIF(C39:C40,"OY")+COUNTIF(C39:C40,"M")+COUNTIF(C39:C40,"V")+COUNTIF(C39:C40,"P"))/2)&lt;=0.4)</formula>
    </cfRule>
    <cfRule type="expression" dxfId="31" priority="58">
      <formula>AND(((COUNTIF(C39:C40,"O")+COUNTIF(C39:C40,"L")+COUNTIF(C39:C40,"H1")+COUNTIF(C39:C40,"H2")+COUNTIF(C39:C40,"OY")+COUNTIF(C39:C40,"M")+COUNTIF(C39:C40,"V")+COUNTIF(C39:C40,"P"))/2)&gt;=0.4,((COUNTIF(C39:C40,"O")+COUNTIF(C39:C40,"L")+COUNTIF(C39:C40,"H1")+COUNTIF(C39:C40,"H2")+COUNTIF(C39:C40,"OY")+COUNTIF(C39:C40,"M")+COUNTIF(C39:C40,"V")+COUNTIF(C39:C40,"P"))/2)&lt;=1)</formula>
    </cfRule>
  </conditionalFormatting>
  <conditionalFormatting sqref="I41:M41">
    <cfRule type="expression" dxfId="30" priority="54" stopIfTrue="1">
      <formula>AND(I$7&lt;&gt;"",VLOOKUP(I$8,$NX$25:$NY$31,2,0)&lt;&gt;"Yes")</formula>
    </cfRule>
    <cfRule type="expression" dxfId="29" priority="55" stopIfTrue="1">
      <formula>ISNUMBER(MATCH(DATE($B$4,$B$3+$B$5-1,I$7),HolidayListNamedRange,0))</formula>
    </cfRule>
  </conditionalFormatting>
  <conditionalFormatting sqref="I41:M41">
    <cfRule type="expression" dxfId="28" priority="51">
      <formula>AND(((COUNTIF(I39:I40,"O")+COUNTIF(I39:I40,"L")+COUNTIF(I39:I40,"H1")+COUNTIF(I39:I40,"H2")+COUNTIF(I39:I40,"OY")+COUNTIF(I39:I40,"M")+COUNTIF(I39:I40,"V")+COUNTIF(I39:I40,"P"))/2)&gt;=0,((COUNTIF(I39:I40,"O")+COUNTIF(I39:I40,"L")+COUNTIF(I39:I40,"H1")+COUNTIF(I39:I40,"H2")+COUNTIF(I39:I40,"OY")+COUNTIF(I39:I40,"M")+COUNTIF(I39:I40,"V")+COUNTIF(I39:I40,"P"))/2)&lt;=0.2)</formula>
    </cfRule>
    <cfRule type="expression" dxfId="27" priority="52">
      <formula>AND(((COUNTIF(I39:I40,"O")+COUNTIF(I39:I40,"L")+COUNTIF(I39:I40,"H1")+COUNTIF(I39:I40,"H2")+COUNTIF(I39:I40,"OY")+COUNTIF(I39:I40,"M")+COUNTIF(I39:I40,"V")+COUNTIF(I39:I40,"P"))/2)&gt;0.2,((COUNTIF(I39:I40,"O")+COUNTIF(I39:I40,"L")+COUNTIF(I39:I40,"H1")+COUNTIF(I39:I40,"H2")+COUNTIF(I39:I40,"OY")+COUNTIF(I39:I40,"M")+COUNTIF(I39:I40,"V")+COUNTIF(I39:I40,"P"))/2)&lt;=0.4)</formula>
    </cfRule>
    <cfRule type="expression" dxfId="26" priority="53">
      <formula>AND(((COUNTIF(I39:I40,"O")+COUNTIF(I39:I40,"L")+COUNTIF(I39:I40,"H1")+COUNTIF(I39:I40,"H2")+COUNTIF(I39:I40,"OY")+COUNTIF(I39:I40,"M")+COUNTIF(I39:I40,"V")+COUNTIF(I39:I40,"P"))/2)&gt;=0.4,((COUNTIF(I39:I40,"O")+COUNTIF(I39:I40,"L")+COUNTIF(I39:I40,"H1")+COUNTIF(I39:I40,"H2")+COUNTIF(I39:I40,"OY")+COUNTIF(I39:I40,"M")+COUNTIF(I39:I40,"V")+COUNTIF(I39:I40,"P"))/2)&lt;=1)</formula>
    </cfRule>
  </conditionalFormatting>
  <conditionalFormatting sqref="P41:T41">
    <cfRule type="expression" dxfId="25" priority="49" stopIfTrue="1">
      <formula>AND(P$7&lt;&gt;"",VLOOKUP(P$8,$NX$25:$NY$31,2,0)&lt;&gt;"Yes")</formula>
    </cfRule>
    <cfRule type="expression" dxfId="24" priority="50" stopIfTrue="1">
      <formula>ISNUMBER(MATCH(DATE($B$4,$B$3+$B$5-1,P$7),HolidayListNamedRange,0))</formula>
    </cfRule>
  </conditionalFormatting>
  <conditionalFormatting sqref="P41:T41">
    <cfRule type="expression" dxfId="23" priority="46">
      <formula>AND(((COUNTIF(P39:P40,"O")+COUNTIF(P39:P40,"L")+COUNTIF(P39:P40,"H1")+COUNTIF(P39:P40,"H2")+COUNTIF(P39:P40,"OY")+COUNTIF(P39:P40,"M")+COUNTIF(P39:P40,"V")+COUNTIF(P39:P40,"P"))/2)&gt;=0,((COUNTIF(P39:P40,"O")+COUNTIF(P39:P40,"L")+COUNTIF(P39:P40,"H1")+COUNTIF(P39:P40,"H2")+COUNTIF(P39:P40,"OY")+COUNTIF(P39:P40,"M")+COUNTIF(P39:P40,"V")+COUNTIF(P39:P40,"P"))/2)&lt;=0.2)</formula>
    </cfRule>
    <cfRule type="expression" dxfId="22" priority="47">
      <formula>AND(((COUNTIF(P39:P40,"O")+COUNTIF(P39:P40,"L")+COUNTIF(P39:P40,"H1")+COUNTIF(P39:P40,"H2")+COUNTIF(P39:P40,"OY")+COUNTIF(P39:P40,"M")+COUNTIF(P39:P40,"V")+COUNTIF(P39:P40,"P"))/2)&gt;0.2,((COUNTIF(P39:P40,"O")+COUNTIF(P39:P40,"L")+COUNTIF(P39:P40,"H1")+COUNTIF(P39:P40,"H2")+COUNTIF(P39:P40,"OY")+COUNTIF(P39:P40,"M")+COUNTIF(P39:P40,"V")+COUNTIF(P39:P40,"P"))/2)&lt;=0.4)</formula>
    </cfRule>
    <cfRule type="expression" dxfId="21" priority="48">
      <formula>AND(((COUNTIF(P39:P40,"O")+COUNTIF(P39:P40,"L")+COUNTIF(P39:P40,"H1")+COUNTIF(P39:P40,"H2")+COUNTIF(P39:P40,"OY")+COUNTIF(P39:P40,"M")+COUNTIF(P39:P40,"V")+COUNTIF(P39:P40,"P"))/2)&gt;=0.4,((COUNTIF(P39:P40,"O")+COUNTIF(P39:P40,"L")+COUNTIF(P39:P40,"H1")+COUNTIF(P39:P40,"H2")+COUNTIF(P39:P40,"OY")+COUNTIF(P39:P40,"M")+COUNTIF(P39:P40,"V")+COUNTIF(P39:P40,"P"))/2)&lt;=1)</formula>
    </cfRule>
  </conditionalFormatting>
  <conditionalFormatting sqref="W41:AA41">
    <cfRule type="expression" dxfId="20" priority="44" stopIfTrue="1">
      <formula>AND(W$7&lt;&gt;"",VLOOKUP(W$8,$NX$25:$NY$31,2,0)&lt;&gt;"Yes")</formula>
    </cfRule>
    <cfRule type="expression" dxfId="19" priority="45" stopIfTrue="1">
      <formula>ISNUMBER(MATCH(DATE($B$4,$B$3+$B$5-1,W$7),HolidayListNamedRange,0))</formula>
    </cfRule>
  </conditionalFormatting>
  <conditionalFormatting sqref="W41:AA41">
    <cfRule type="expression" dxfId="18" priority="41">
      <formula>AND(((COUNTIF(W39:W40,"O")+COUNTIF(W39:W40,"L")+COUNTIF(W39:W40,"H1")+COUNTIF(W39:W40,"H2")+COUNTIF(W39:W40,"OY")+COUNTIF(W39:W40,"M")+COUNTIF(W39:W40,"V")+COUNTIF(W39:W40,"P"))/2)&gt;=0,((COUNTIF(W39:W40,"O")+COUNTIF(W39:W40,"L")+COUNTIF(W39:W40,"H1")+COUNTIF(W39:W40,"H2")+COUNTIF(W39:W40,"OY")+COUNTIF(W39:W40,"M")+COUNTIF(W39:W40,"V")+COUNTIF(W39:W40,"P"))/2)&lt;=0.2)</formula>
    </cfRule>
    <cfRule type="expression" dxfId="17" priority="42">
      <formula>AND(((COUNTIF(W39:W40,"O")+COUNTIF(W39:W40,"L")+COUNTIF(W39:W40,"H1")+COUNTIF(W39:W40,"H2")+COUNTIF(W39:W40,"OY")+COUNTIF(W39:W40,"M")+COUNTIF(W39:W40,"V")+COUNTIF(W39:W40,"P"))/2)&gt;0.2,((COUNTIF(W39:W40,"O")+COUNTIF(W39:W40,"L")+COUNTIF(W39:W40,"H1")+COUNTIF(W39:W40,"H2")+COUNTIF(W39:W40,"OY")+COUNTIF(W39:W40,"M")+COUNTIF(W39:W40,"V")+COUNTIF(W39:W40,"P"))/2)&lt;=0.4)</formula>
    </cfRule>
    <cfRule type="expression" dxfId="16" priority="43">
      <formula>AND(((COUNTIF(W39:W40,"O")+COUNTIF(W39:W40,"L")+COUNTIF(W39:W40,"H1")+COUNTIF(W39:W40,"H2")+COUNTIF(W39:W40,"OY")+COUNTIF(W39:W40,"M")+COUNTIF(W39:W40,"V")+COUNTIF(W39:W40,"P"))/2)&gt;=0.4,((COUNTIF(W39:W40,"O")+COUNTIF(W39:W40,"L")+COUNTIF(W39:W40,"H1")+COUNTIF(W39:W40,"H2")+COUNTIF(W39:W40,"OY")+COUNTIF(W39:W40,"M")+COUNTIF(W39:W40,"V")+COUNTIF(W39:W40,"P"))/2)&lt;=1)</formula>
    </cfRule>
  </conditionalFormatting>
  <conditionalFormatting sqref="AD41:AF41">
    <cfRule type="expression" dxfId="15" priority="39" stopIfTrue="1">
      <formula>AND(AD$7&lt;&gt;"",VLOOKUP(AD$8,$NX$25:$NY$31,2,0)&lt;&gt;"Yes")</formula>
    </cfRule>
    <cfRule type="expression" dxfId="14" priority="40" stopIfTrue="1">
      <formula>ISNUMBER(MATCH(DATE($B$4,$B$3+$B$5-1,AD$7),HolidayListNamedRange,0))</formula>
    </cfRule>
  </conditionalFormatting>
  <conditionalFormatting sqref="AD41:AF41">
    <cfRule type="expression" dxfId="13" priority="36">
      <formula>AND(((COUNTIF(AD39:AD40,"O")+COUNTIF(AD39:AD40,"L")+COUNTIF(AD39:AD40,"H1")+COUNTIF(AD39:AD40,"H2")+COUNTIF(AD39:AD40,"OY")+COUNTIF(AD39:AD40,"M")+COUNTIF(AD39:AD40,"V")+COUNTIF(AD39:AD40,"P"))/2)&gt;=0,((COUNTIF(AD39:AD40,"O")+COUNTIF(AD39:AD40,"L")+COUNTIF(AD39:AD40,"H1")+COUNTIF(AD39:AD40,"H2")+COUNTIF(AD39:AD40,"OY")+COUNTIF(AD39:AD40,"M")+COUNTIF(AD39:AD40,"V")+COUNTIF(AD39:AD40,"P"))/2)&lt;=0.2)</formula>
    </cfRule>
    <cfRule type="expression" dxfId="12" priority="37">
      <formula>AND(((COUNTIF(AD39:AD40,"O")+COUNTIF(AD39:AD40,"L")+COUNTIF(AD39:AD40,"H1")+COUNTIF(AD39:AD40,"H2")+COUNTIF(AD39:AD40,"OY")+COUNTIF(AD39:AD40,"M")+COUNTIF(AD39:AD40,"V")+COUNTIF(AD39:AD40,"P"))/2)&gt;0.2,((COUNTIF(AD39:AD40,"O")+COUNTIF(AD39:AD40,"L")+COUNTIF(AD39:AD40,"H1")+COUNTIF(AD39:AD40,"H2")+COUNTIF(AD39:AD40,"OY")+COUNTIF(AD39:AD40,"M")+COUNTIF(AD39:AD40,"V")+COUNTIF(AD39:AD40,"P"))/2)&lt;=0.4)</formula>
    </cfRule>
    <cfRule type="expression" dxfId="11" priority="38">
      <formula>AND(((COUNTIF(AD39:AD40,"O")+COUNTIF(AD39:AD40,"L")+COUNTIF(AD39:AD40,"H1")+COUNTIF(AD39:AD40,"H2")+COUNTIF(AD39:AD40,"OY")+COUNTIF(AD39:AD40,"M")+COUNTIF(AD39:AD40,"V")+COUNTIF(AD39:AD40,"P"))/2)&gt;=0.4,((COUNTIF(AD39:AD40,"O")+COUNTIF(AD39:AD40,"L")+COUNTIF(AD39:AD40,"H1")+COUNTIF(AD39:AD40,"H2")+COUNTIF(AD39:AD40,"OY")+COUNTIF(AD39:AD40,"M")+COUNTIF(AD39:AD40,"V")+COUNTIF(AD39:AD40,"P"))/2)&lt;=1)</formula>
    </cfRule>
  </conditionalFormatting>
  <conditionalFormatting sqref="C14:F14">
    <cfRule type="expression" dxfId="10" priority="6" stopIfTrue="1">
      <formula>AND(C$7&lt;&gt;"",VLOOKUP(C$8,$NX$23:$NY$29,2,0)&lt;&gt;"Yes")</formula>
    </cfRule>
    <cfRule type="expression" dxfId="9" priority="7" stopIfTrue="1">
      <formula>ISNUMBER(MATCH(DATE($B$4,$B$3+$B$5-1,C$7),HolidayListNamedRange,0))</formula>
    </cfRule>
  </conditionalFormatting>
  <conditionalFormatting sqref="I14:M14">
    <cfRule type="expression" dxfId="8" priority="1" stopIfTrue="1">
      <formula>AND(I$7&lt;&gt;"",VLOOKUP(I$8,$NX$23:$NY$29,2,0)&lt;&gt;"Yes")</formula>
    </cfRule>
    <cfRule type="expression" dxfId="7" priority="2" stopIfTrue="1">
      <formula>ISNUMBER(MATCH(DATE($B$4,$B$3+$B$5-1,I$7),HolidayListNamedRange,0))</formula>
    </cfRule>
  </conditionalFormatting>
  <conditionalFormatting sqref="C8:NJ8">
    <cfRule type="expression" dxfId="6" priority="3091">
      <formula>IF(VLOOKUP(C8,$NX$33:$NY$45,2,0)="No",TRUE,FALSE)</formula>
    </cfRule>
  </conditionalFormatting>
  <conditionalFormatting sqref="C14:F14 I14:M14">
    <cfRule type="expression" dxfId="5" priority="3147">
      <formula>AND(((COUNTIF(C13:C1048566,"O")+COUNTIF(C13:C1048566,"L")+COUNTIF(C13:C1048566,"H1")+COUNTIF(C13:C1048566,"H2")+COUNTIF(C13:C1048566,"OY")+COUNTIF(C13:C1048566,"M")+COUNTIF(C13:C1048566,"V")+COUNTIF(C13:C1048566,"P"))/13)&gt;=0,((COUNTIF(C13:C1048566,"O")+COUNTIF(C13:C1048566,"L")+COUNTIF(C13:C1048566,"H1")+COUNTIF(C13:C1048566,"H2")+COUNTIF(C13:C1048566,"OY")+COUNTIF(C13:C1048566,"M")+COUNTIF(C13:C1048566,"V")+COUNTIF(C13:C1048566,"P"))/13)&lt;=0.2)</formula>
    </cfRule>
    <cfRule type="expression" dxfId="4" priority="3148">
      <formula>AND(((COUNTIF(C13:C1048566,"O")+COUNTIF(C13:C1048566,"L")+COUNTIF(C13:C1048566,"H1")+COUNTIF(C13:C1048566,"H2")+COUNTIF(C13:C1048566,"OY")+COUNTIF(C13:C1048566,"M")+COUNTIF(C13:C1048566,"V")+COUNTIF(C13:C1048566,"P"))/13)&gt;0.2,((COUNTIF(C13:C1048566,"O")+COUNTIF(C13:C1048566,"L")+COUNTIF(C13:C1048566,"H1")+COUNTIF(C13:C1048566,"H2")+COUNTIF(C13:C1048566,"OY")+COUNTIF(C13:C1048566,"M")+COUNTIF(C13:C1048566,"V")+COUNTIF(C13:C1048566,"P"))/13)&lt;=0.4)</formula>
    </cfRule>
    <cfRule type="expression" dxfId="3" priority="3149">
      <formula>AND(((COUNTIF(C13:C1048566,"O")+COUNTIF(C13:C1048566,"L")+COUNTIF(C13:C1048566,"H1")+COUNTIF(C13:C1048566,"H2")+COUNTIF(C13:C1048566,"OY")+COUNTIF(C13:C1048566,"M")+COUNTIF(C13:C1048566,"V")+COUNTIF(C13:C1048566,"P"))/13)&gt;=0.4,((COUNTIF(C13:C1048566,"O")+COUNTIF(C13:C1048566,"L")+COUNTIF(C13:C1048566,"H1")+COUNTIF(C13:C1048566,"H2")+COUNTIF(C13:C1048566,"OY")+COUNTIF(C13:C1048566,"M")+COUNTIF(C13:C1048566,"V")+COUNTIF(C13:C1048566,"P"))/13)&lt;=1)</formula>
    </cfRule>
  </conditionalFormatting>
  <dataValidations count="3">
    <dataValidation type="list" allowBlank="1" showInputMessage="1" showErrorMessage="1" sqref="B3" xr:uid="{00000000-0002-0000-0200-000000000000}">
      <formula1>"1,2,3,4,5,6,7,8,9,10,11,12"</formula1>
    </dataValidation>
    <dataValidation type="list" allowBlank="1" showInputMessage="1" showErrorMessage="1" sqref="NY33:NY45" xr:uid="{00000000-0002-0000-0200-000002000000}">
      <formula1>"Yes, No"</formula1>
    </dataValidation>
    <dataValidation type="custom" allowBlank="1" showErrorMessage="1" errorTitle="Not a Valid Date" error="This isn't a valid Date" sqref="C10:NJ71" xr:uid="{00000000-0002-0000-0200-000001000000}">
      <formula1>C$8&lt;&gt;""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41"/>
  <sheetViews>
    <sheetView showGridLines="0" zoomScale="115" zoomScaleNormal="115" workbookViewId="0">
      <selection activeCell="A16" sqref="A16"/>
    </sheetView>
  </sheetViews>
  <sheetFormatPr defaultColWidth="8.81640625" defaultRowHeight="14.5" x14ac:dyDescent="0.35"/>
  <cols>
    <col min="1" max="1" width="24" bestFit="1" customWidth="1"/>
    <col min="2" max="2" width="12.1796875" customWidth="1"/>
    <col min="4" max="4" width="10.453125" bestFit="1" customWidth="1"/>
  </cols>
  <sheetData>
    <row r="1" spans="1:5" x14ac:dyDescent="0.35">
      <c r="A1" s="11" t="s">
        <v>20</v>
      </c>
      <c r="B1" s="12" t="s">
        <v>21</v>
      </c>
    </row>
    <row r="2" spans="1:5" x14ac:dyDescent="0.35">
      <c r="A2" s="30" t="s">
        <v>40</v>
      </c>
      <c r="B2" s="35">
        <v>44613</v>
      </c>
      <c r="D2" s="6"/>
      <c r="E2" s="8"/>
    </row>
    <row r="3" spans="1:5" x14ac:dyDescent="0.35">
      <c r="A3" s="30" t="s">
        <v>43</v>
      </c>
      <c r="B3" s="31">
        <v>44743</v>
      </c>
      <c r="E3" s="8"/>
    </row>
    <row r="4" spans="1:5" x14ac:dyDescent="0.35">
      <c r="A4" s="30" t="s">
        <v>44</v>
      </c>
      <c r="B4" s="31">
        <v>44774</v>
      </c>
      <c r="E4" s="8"/>
    </row>
    <row r="5" spans="1:5" x14ac:dyDescent="0.35">
      <c r="A5" s="30" t="s">
        <v>24</v>
      </c>
      <c r="B5" s="31">
        <v>44809</v>
      </c>
      <c r="E5" s="8"/>
    </row>
    <row r="6" spans="1:5" x14ac:dyDescent="0.35">
      <c r="A6" s="30" t="s">
        <v>48</v>
      </c>
      <c r="B6" s="35">
        <v>44834</v>
      </c>
      <c r="E6" s="8"/>
    </row>
    <row r="7" spans="1:5" x14ac:dyDescent="0.35">
      <c r="A7" s="30" t="s">
        <v>25</v>
      </c>
      <c r="B7" s="31">
        <v>44844</v>
      </c>
      <c r="E7" s="8"/>
    </row>
    <row r="8" spans="1:5" x14ac:dyDescent="0.35">
      <c r="A8" s="30" t="s">
        <v>45</v>
      </c>
      <c r="B8" s="31">
        <v>44876</v>
      </c>
      <c r="E8" s="8"/>
    </row>
    <row r="9" spans="1:5" x14ac:dyDescent="0.35">
      <c r="A9" s="30" t="s">
        <v>26</v>
      </c>
      <c r="B9" s="31">
        <v>44920</v>
      </c>
      <c r="E9" s="8"/>
    </row>
    <row r="10" spans="1:5" x14ac:dyDescent="0.35">
      <c r="A10" s="30" t="s">
        <v>46</v>
      </c>
      <c r="B10" s="31">
        <v>44921</v>
      </c>
      <c r="E10" s="8"/>
    </row>
    <row r="11" spans="1:5" x14ac:dyDescent="0.35">
      <c r="A11" s="30" t="s">
        <v>22</v>
      </c>
      <c r="B11" s="31">
        <v>44927</v>
      </c>
      <c r="E11" s="8"/>
    </row>
    <row r="12" spans="1:5" x14ac:dyDescent="0.35">
      <c r="A12" s="30" t="s">
        <v>40</v>
      </c>
      <c r="B12" s="31">
        <v>44977</v>
      </c>
      <c r="E12" s="8"/>
    </row>
    <row r="13" spans="1:5" x14ac:dyDescent="0.35">
      <c r="A13" s="30" t="s">
        <v>41</v>
      </c>
      <c r="B13" s="31">
        <v>45023</v>
      </c>
    </row>
    <row r="14" spans="1:5" x14ac:dyDescent="0.35">
      <c r="A14" s="30" t="s">
        <v>23</v>
      </c>
      <c r="B14" s="31">
        <v>45025</v>
      </c>
    </row>
    <row r="15" spans="1:5" x14ac:dyDescent="0.35">
      <c r="A15" s="30" t="s">
        <v>42</v>
      </c>
      <c r="B15" s="31">
        <v>45068</v>
      </c>
    </row>
    <row r="16" spans="1:5" x14ac:dyDescent="0.35">
      <c r="A16" s="30"/>
      <c r="B16" s="31"/>
    </row>
    <row r="17" spans="1:2" x14ac:dyDescent="0.35">
      <c r="A17" s="34"/>
      <c r="B17" s="35"/>
    </row>
    <row r="18" spans="1:2" x14ac:dyDescent="0.35">
      <c r="A18" s="34"/>
      <c r="B18" s="35"/>
    </row>
    <row r="19" spans="1:2" x14ac:dyDescent="0.35">
      <c r="A19" s="34"/>
      <c r="B19" s="35"/>
    </row>
    <row r="20" spans="1:2" x14ac:dyDescent="0.35">
      <c r="A20" s="34"/>
      <c r="B20" s="35"/>
    </row>
    <row r="21" spans="1:2" x14ac:dyDescent="0.35">
      <c r="A21" s="34"/>
      <c r="B21" s="35"/>
    </row>
    <row r="22" spans="1:2" x14ac:dyDescent="0.35">
      <c r="A22" s="34"/>
      <c r="B22" s="35"/>
    </row>
    <row r="23" spans="1:2" x14ac:dyDescent="0.35">
      <c r="A23" s="34"/>
      <c r="B23" s="35"/>
    </row>
    <row r="24" spans="1:2" x14ac:dyDescent="0.35">
      <c r="A24" s="34"/>
      <c r="B24" s="35"/>
    </row>
    <row r="25" spans="1:2" x14ac:dyDescent="0.35">
      <c r="A25" s="34"/>
      <c r="B25" s="35"/>
    </row>
    <row r="26" spans="1:2" x14ac:dyDescent="0.35">
      <c r="A26" s="34"/>
      <c r="B26" s="35"/>
    </row>
    <row r="27" spans="1:2" x14ac:dyDescent="0.35">
      <c r="A27" s="34"/>
      <c r="B27" s="35"/>
    </row>
    <row r="28" spans="1:2" x14ac:dyDescent="0.35">
      <c r="A28" s="28"/>
      <c r="B28" s="29"/>
    </row>
    <row r="29" spans="1:2" x14ac:dyDescent="0.35">
      <c r="A29" s="28"/>
      <c r="B29" s="29"/>
    </row>
    <row r="30" spans="1:2" x14ac:dyDescent="0.35">
      <c r="A30" s="28"/>
      <c r="B30" s="29"/>
    </row>
    <row r="31" spans="1:2" x14ac:dyDescent="0.35">
      <c r="A31" s="28"/>
      <c r="B31" s="29"/>
    </row>
    <row r="32" spans="1:2" x14ac:dyDescent="0.35">
      <c r="A32" s="28"/>
      <c r="B32" s="29"/>
    </row>
    <row r="33" spans="1:2" x14ac:dyDescent="0.35">
      <c r="A33" s="28"/>
      <c r="B33" s="29"/>
    </row>
    <row r="34" spans="1:2" x14ac:dyDescent="0.35">
      <c r="A34" s="28"/>
      <c r="B34" s="29"/>
    </row>
    <row r="35" spans="1:2" x14ac:dyDescent="0.35">
      <c r="A35" s="28"/>
      <c r="B35" s="29"/>
    </row>
    <row r="36" spans="1:2" x14ac:dyDescent="0.35">
      <c r="A36" s="28"/>
      <c r="B36" s="29"/>
    </row>
    <row r="37" spans="1:2" x14ac:dyDescent="0.35">
      <c r="A37" s="28"/>
      <c r="B37" s="29"/>
    </row>
    <row r="38" spans="1:2" x14ac:dyDescent="0.35">
      <c r="A38" s="28"/>
      <c r="B38" s="29"/>
    </row>
    <row r="39" spans="1:2" x14ac:dyDescent="0.35">
      <c r="A39" s="28"/>
      <c r="B39" s="29"/>
    </row>
    <row r="40" spans="1:2" x14ac:dyDescent="0.35">
      <c r="A40" s="28"/>
      <c r="B40" s="29"/>
    </row>
    <row r="41" spans="1:2" x14ac:dyDescent="0.35">
      <c r="A41" s="28"/>
      <c r="B41" s="2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2"/>
  <sheetViews>
    <sheetView workbookViewId="0">
      <selection activeCell="G2" sqref="G2"/>
    </sheetView>
  </sheetViews>
  <sheetFormatPr defaultColWidth="8.81640625" defaultRowHeight="14.5" x14ac:dyDescent="0.35"/>
  <cols>
    <col min="7" max="7" width="10.453125" bestFit="1" customWidth="1"/>
    <col min="9" max="9" width="9.453125" bestFit="1" customWidth="1"/>
  </cols>
  <sheetData>
    <row r="1" spans="1:9" x14ac:dyDescent="0.35">
      <c r="A1" s="1" t="s">
        <v>19</v>
      </c>
      <c r="B1" s="1">
        <v>1</v>
      </c>
      <c r="D1">
        <v>1</v>
      </c>
      <c r="E1" t="s">
        <v>11</v>
      </c>
      <c r="G1" t="str">
        <f>INDEX($A$1:$A$12,MATCH('2022'!$B$3+'2022'!$B$5-1,Sheet3!$B$1:$B$12,0))&amp;" "&amp;'2022'!$B$4</f>
        <v>December 2022</v>
      </c>
      <c r="H1" s="6"/>
      <c r="I1" s="6"/>
    </row>
    <row r="2" spans="1:9" x14ac:dyDescent="0.35">
      <c r="A2" s="1" t="s">
        <v>0</v>
      </c>
      <c r="B2" s="1">
        <v>2</v>
      </c>
      <c r="D2">
        <v>2</v>
      </c>
      <c r="E2" t="s">
        <v>12</v>
      </c>
      <c r="G2" s="6" t="str">
        <f>INDEX($A$1:$A$12,MATCH(MONTH(DATE('2022'!$B$4,'2022'!$B$3+'2022'!$B$5-1,1)),$B$1:$B$12,0))&amp;" "&amp;YEAR(DATE('2022'!$B$4,'2022'!$B$3+'2022'!$B$5-1,1))</f>
        <v>December 2022</v>
      </c>
    </row>
    <row r="3" spans="1:9" x14ac:dyDescent="0.35">
      <c r="A3" s="1" t="s">
        <v>1</v>
      </c>
      <c r="B3" s="1">
        <v>3</v>
      </c>
      <c r="D3">
        <v>3</v>
      </c>
      <c r="E3" t="s">
        <v>13</v>
      </c>
    </row>
    <row r="4" spans="1:9" x14ac:dyDescent="0.35">
      <c r="A4" s="1" t="s">
        <v>2</v>
      </c>
      <c r="B4" s="1">
        <v>4</v>
      </c>
      <c r="D4">
        <v>4</v>
      </c>
      <c r="E4" t="s">
        <v>14</v>
      </c>
    </row>
    <row r="5" spans="1:9" x14ac:dyDescent="0.35">
      <c r="A5" s="1" t="s">
        <v>3</v>
      </c>
      <c r="B5" s="1">
        <v>5</v>
      </c>
      <c r="D5">
        <v>5</v>
      </c>
      <c r="E5" t="s">
        <v>15</v>
      </c>
    </row>
    <row r="6" spans="1:9" x14ac:dyDescent="0.35">
      <c r="A6" s="1" t="s">
        <v>4</v>
      </c>
      <c r="B6" s="1">
        <v>6</v>
      </c>
      <c r="D6">
        <v>6</v>
      </c>
      <c r="E6" t="s">
        <v>16</v>
      </c>
    </row>
    <row r="7" spans="1:9" x14ac:dyDescent="0.35">
      <c r="A7" s="1" t="s">
        <v>5</v>
      </c>
      <c r="B7" s="1">
        <v>7</v>
      </c>
      <c r="D7">
        <v>7</v>
      </c>
      <c r="E7" t="s">
        <v>17</v>
      </c>
    </row>
    <row r="8" spans="1:9" x14ac:dyDescent="0.35">
      <c r="A8" s="1" t="s">
        <v>6</v>
      </c>
      <c r="B8" s="1">
        <v>8</v>
      </c>
    </row>
    <row r="9" spans="1:9" x14ac:dyDescent="0.35">
      <c r="A9" s="1" t="s">
        <v>7</v>
      </c>
      <c r="B9" s="1">
        <v>9</v>
      </c>
    </row>
    <row r="10" spans="1:9" x14ac:dyDescent="0.35">
      <c r="A10" s="1" t="s">
        <v>8</v>
      </c>
      <c r="B10" s="1">
        <v>10</v>
      </c>
    </row>
    <row r="11" spans="1:9" x14ac:dyDescent="0.35">
      <c r="A11" s="1" t="s">
        <v>9</v>
      </c>
      <c r="B11" s="1">
        <v>11</v>
      </c>
    </row>
    <row r="12" spans="1:9" x14ac:dyDescent="0.35">
      <c r="A12" s="1" t="s">
        <v>10</v>
      </c>
      <c r="B12" s="1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2022</vt:lpstr>
      <vt:lpstr>2023</vt:lpstr>
      <vt:lpstr>2024</vt:lpstr>
      <vt:lpstr>Holidays</vt:lpstr>
      <vt:lpstr>Sheet3</vt:lpstr>
      <vt:lpstr>'2023'!HolidayListNamedRange</vt:lpstr>
      <vt:lpstr>'2024'!HolidayListNamedRange</vt:lpstr>
      <vt:lpstr>HolidayListNamedRange</vt:lpstr>
      <vt:lpstr>LEAVECODES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ADMINIBM</dc:creator>
  <cp:lastModifiedBy>Gong, Grace</cp:lastModifiedBy>
  <dcterms:created xsi:type="dcterms:W3CDTF">2014-12-17T05:13:13Z</dcterms:created>
  <dcterms:modified xsi:type="dcterms:W3CDTF">2022-07-15T14:44:53Z</dcterms:modified>
</cp:coreProperties>
</file>